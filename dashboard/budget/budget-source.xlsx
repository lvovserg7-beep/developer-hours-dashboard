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юджет 2026" sheetId="1" r:id="rId5"/>
    <sheet state="visible" name="Помесячно Заполнить ответственн" sheetId="2" r:id="rId6"/>
    <sheet state="visible" name="Поквартально" sheetId="3" r:id="rId7"/>
    <sheet state="visible" name="Инфо20-06.Себестоимость от прод" sheetId="4" r:id="rId8"/>
    <sheet state="visible" name="Макшанова" sheetId="5" r:id="rId9"/>
    <sheet state="visible" name="Сысоев" sheetId="6" r:id="rId10"/>
    <sheet state="visible" name="копия заполнить отв. Макшанова" sheetId="7" r:id="rId11"/>
    <sheet state="visible" name="Отклонение от  плана ЛСА" sheetId="8" r:id="rId12"/>
    <sheet state="visible" name="Для ПД" sheetId="9" r:id="rId13"/>
  </sheets>
  <definedNames>
    <definedName hidden="1" localSheetId="1" name="_xlnm._FilterDatabase">'Помесячно Заполнить ответственн'!$A$1:$Z$980</definedName>
    <definedName hidden="1" localSheetId="2" name="_xlnm._FilterDatabase">'Поквартально'!$A$3:$Z$31</definedName>
    <definedName hidden="1" localSheetId="7" name="_xlnm._FilterDatabase">'Отклонение от  плана ЛСА'!$A$3:$AA$32</definedName>
    <definedName hidden="1" localSheetId="8" name="_xlnm._FilterDatabase">'Для ПД'!$A$3:$AE$30</definedName>
    <definedName hidden="1" localSheetId="1" name="Z_420620D8_A0FB_458D_8F15_6D8139DFE58C_.wvu.FilterData">'Помесячно Заполнить ответственн'!$A$1:$Z$337</definedName>
    <definedName hidden="1" localSheetId="1" name="Z_0E20448C_D7B2_4E99_BC22_6404041E02BF_.wvu.FilterData">'Помесячно Заполнить ответственн'!$A$1:$G$337</definedName>
    <definedName hidden="1" localSheetId="1" name="Z_3C4D2EB8_F5F8_4729_89BB_B2114112E09E_.wvu.FilterData">'Помесячно Заполнить ответственн'!$I$9</definedName>
  </definedNames>
  <calcPr/>
  <customWorkbookViews>
    <customWorkbookView activeSheetId="0" maximized="1" windowHeight="0" windowWidth="0" guid="{420620D8-A0FB-458D-8F15-6D8139DFE58C}" name="Фильтр 1"/>
    <customWorkbookView activeSheetId="0" maximized="1" windowHeight="0" windowWidth="0" guid="{0E20448C-D7B2-4E99-BC22-6404041E02BF}" name="Фильтр 3"/>
    <customWorkbookView activeSheetId="0" maximized="1" windowHeight="0" windowWidth="0" guid="{3C4D2EB8-F5F8-4729-89BB-B2114112E09E}" name="Фильтр 2"/>
  </customWorkbookViews>
  <pivotCaches>
    <pivotCache cacheId="0" r:id="rId14"/>
    <pivotCache cacheId="1" r:id="rId15"/>
    <pivotCache cacheId="2" r:id="rId16"/>
  </pivotCaches>
</workbook>
</file>

<file path=xl/sharedStrings.xml><?xml version="1.0" encoding="utf-8"?>
<sst xmlns="http://schemas.openxmlformats.org/spreadsheetml/2006/main" count="5264" uniqueCount="607">
  <si>
    <t>Ответственный</t>
  </si>
  <si>
    <t>Доходы и расходы</t>
  </si>
  <si>
    <t>Месяц</t>
  </si>
  <si>
    <t>Квартал</t>
  </si>
  <si>
    <t>План</t>
  </si>
  <si>
    <t>Факт</t>
  </si>
  <si>
    <t>Комментарий</t>
  </si>
  <si>
    <t>01.1.Выручка от продаж разработки</t>
  </si>
  <si>
    <t>Продажи</t>
  </si>
  <si>
    <t>Макшанова Л.М.</t>
  </si>
  <si>
    <t>01.Январь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</si>
  <si>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</si>
  <si>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</si>
  <si>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</si>
  <si>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</si>
  <si>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</si>
  <si>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</si>
  <si>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</si>
  <si>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</si>
  <si>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</si>
  <si>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</si>
  <si>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</si>
  <si>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</si>
  <si>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%</t>
  </si>
  <si>
    <t>Значения</t>
  </si>
  <si>
    <t>06.Себестоимость от продаж разработки</t>
  </si>
  <si>
    <t>01.2.Выручка от продаж разработки</t>
  </si>
  <si>
    <t>Сысоев В.С.</t>
  </si>
  <si>
    <t>05.Май</t>
  </si>
  <si>
    <t>бюджет 2026</t>
  </si>
  <si>
    <t>по плану видно что будет в районе 2 млн</t>
  </si>
  <si>
    <t>Ответсвенный</t>
  </si>
  <si>
    <t>02.1.Выручка сервера</t>
  </si>
  <si>
    <t>Выручка от продаж разработки</t>
  </si>
  <si>
    <t>Итого</t>
  </si>
  <si>
    <t>SUM из План</t>
  </si>
  <si>
    <t>SUM из Факт</t>
  </si>
  <si>
    <t>03.1.Выручка коробки</t>
  </si>
  <si>
    <t>04.1.Выручка поддержка</t>
  </si>
  <si>
    <t>05.1.Выручка продукты</t>
  </si>
  <si>
    <t>06.Себестоимость от продаж</t>
  </si>
  <si>
    <t>07.Себестоимость коробки</t>
  </si>
  <si>
    <t>07.Себестоимость от продаж ОП</t>
  </si>
  <si>
    <t>08.Простой</t>
  </si>
  <si>
    <t>09.Оплата попадосов</t>
  </si>
  <si>
    <t>пункты 1a,1d, 2 роста прибыли</t>
  </si>
  <si>
    <t>10.Выплата заработной платы разработка</t>
  </si>
  <si>
    <t>Выручка сервера</t>
  </si>
  <si>
    <t>11.Оплата аналитики</t>
  </si>
  <si>
    <t>в концепции что это оплата за работу специалиста по поддержке посчитано по средней ставке поддержки 3200 и плана 100 тысяч из расчета что 100% идет в ЗП по средней ствке аналитики 1350</t>
  </si>
  <si>
    <t>цена часа 3200</t>
  </si>
  <si>
    <t>12.Откат ментам</t>
  </si>
  <si>
    <t>13.Бонус отдела продаж</t>
  </si>
  <si>
    <t>Поднятие цен + 10 аренд</t>
  </si>
  <si>
    <t>Павлова Д.И.</t>
  </si>
  <si>
    <t>Выручка коробки</t>
  </si>
  <si>
    <t>14.Выплата заработной платы(Операционные)</t>
  </si>
  <si>
    <t>15.Выплата заработной платы(Развитие)</t>
  </si>
  <si>
    <t>Львов С.А.</t>
  </si>
  <si>
    <t>16.Маркетинг</t>
  </si>
  <si>
    <t>17.RND</t>
  </si>
  <si>
    <t>18.Налоги</t>
  </si>
  <si>
    <t>19.Аренда серверов</t>
  </si>
  <si>
    <t>Рост из за отсутствия НДС</t>
  </si>
  <si>
    <t>20.Транспорт</t>
  </si>
  <si>
    <t>Выручка поддержка</t>
  </si>
  <si>
    <t>Гатих П.С.</t>
  </si>
  <si>
    <t>21.Аренда офиса</t>
  </si>
  <si>
    <t>22.Связь</t>
  </si>
  <si>
    <t>23.Офис</t>
  </si>
  <si>
    <t>24.Выплата заработной платы(Коммерческие)</t>
  </si>
  <si>
    <t>25.Комисии</t>
  </si>
  <si>
    <t>25.Обучение</t>
  </si>
  <si>
    <t>26.Налоги ЗП</t>
  </si>
  <si>
    <t>Выручка продукты</t>
  </si>
  <si>
    <t>пункт 1d роста прибыли</t>
  </si>
  <si>
    <t>02.Февраль</t>
  </si>
  <si>
    <t>Итого выручка:</t>
  </si>
  <si>
    <t>План ИТОГО</t>
  </si>
  <si>
    <t>ПОМЕСЯЧНО</t>
  </si>
  <si>
    <t>Договор</t>
  </si>
  <si>
    <t>Дата</t>
  </si>
  <si>
    <t>часы январь</t>
  </si>
  <si>
    <t>Ставка</t>
  </si>
  <si>
    <t>% повышения</t>
  </si>
  <si>
    <t>часы февраль</t>
  </si>
  <si>
    <t>План Итого</t>
  </si>
  <si>
    <t>Себестоимость</t>
  </si>
  <si>
    <t>03.Март</t>
  </si>
  <si>
    <t>04.Апрель</t>
  </si>
  <si>
    <t>06.Июнь</t>
  </si>
  <si>
    <t>07.Июль</t>
  </si>
  <si>
    <t>08.Август</t>
  </si>
  <si>
    <t>09.Сентябрь</t>
  </si>
  <si>
    <t>10.Октябрь</t>
  </si>
  <si>
    <t>11.Ноябрь</t>
  </si>
  <si>
    <t>12.Декабрь</t>
  </si>
  <si>
    <t>297 850,00</t>
  </si>
  <si>
    <t>814 650,00</t>
  </si>
  <si>
    <t>986 200,00</t>
  </si>
  <si>
    <t>663 050,00</t>
  </si>
  <si>
    <t>759 992,00</t>
  </si>
  <si>
    <t>629 000,00</t>
  </si>
  <si>
    <t>896 934,00</t>
  </si>
  <si>
    <t>Себестоимость от продаж</t>
  </si>
  <si>
    <t>782 750,00</t>
  </si>
  <si>
    <t>816 550,00</t>
  </si>
  <si>
    <t>883 492,00</t>
  </si>
  <si>
    <t>672 042,00</t>
  </si>
  <si>
    <t>47 315 721,00</t>
  </si>
  <si>
    <t>X-COM</t>
  </si>
  <si>
    <t>-</t>
  </si>
  <si>
    <t>цена часа 3300</t>
  </si>
  <si>
    <t>Себестоимость коробки</t>
  </si>
  <si>
    <t>АРТИС</t>
  </si>
  <si>
    <t>не нашла</t>
  </si>
  <si>
    <t>20 (3360р)</t>
  </si>
  <si>
    <t>Итого себестоимость:</t>
  </si>
  <si>
    <t>Симон Электрик</t>
  </si>
  <si>
    <t>1С/0111/2023</t>
  </si>
  <si>
    <t>10,81 (4100р)</t>
  </si>
  <si>
    <t>Кертинг РУС</t>
  </si>
  <si>
    <t>0808/2024</t>
  </si>
  <si>
    <t>Итого прибыль:</t>
  </si>
  <si>
    <t>Доза</t>
  </si>
  <si>
    <t>25/07/2024-1</t>
  </si>
  <si>
    <t>20 (3600)</t>
  </si>
  <si>
    <t>Металл Сервис</t>
  </si>
  <si>
    <t>28/05/2025-1</t>
  </si>
  <si>
    <t>5 (3570)</t>
  </si>
  <si>
    <t>Хольц-Хаус</t>
  </si>
  <si>
    <t>Рентабельность:</t>
  </si>
  <si>
    <t>Хольц-Хаус Урал</t>
  </si>
  <si>
    <t>02/06/2025-3</t>
  </si>
  <si>
    <t>Хольц Хаус Москва</t>
  </si>
  <si>
    <t>02/06/2025-5</t>
  </si>
  <si>
    <t>Хольц Хаус Северо-Запад</t>
  </si>
  <si>
    <t>02/06/2025-6</t>
  </si>
  <si>
    <t>Себестоимость прочая</t>
  </si>
  <si>
    <t>Хольц Эстейт</t>
  </si>
  <si>
    <t>02/06/2025-2</t>
  </si>
  <si>
    <t>Простой</t>
  </si>
  <si>
    <t>Хольц Солюшенс</t>
  </si>
  <si>
    <t>02/06/2025-4 (не подписан)</t>
  </si>
  <si>
    <t>Хольц Констракшн</t>
  </si>
  <si>
    <t>02/06/2025-1</t>
  </si>
  <si>
    <t>РЭК</t>
  </si>
  <si>
    <t>15 (4140)</t>
  </si>
  <si>
    <t>СТГ ГВАРД</t>
  </si>
  <si>
    <t>АО «НФ АК ПРАКТИК»</t>
  </si>
  <si>
    <t>Оплата попадосов</t>
  </si>
  <si>
    <t>Соглашение</t>
  </si>
  <si>
    <t>5,5 (3800)</t>
  </si>
  <si>
    <t>ГК Керамогранит</t>
  </si>
  <si>
    <t>Выплата заработной платы разработка</t>
  </si>
  <si>
    <t>Армтек</t>
  </si>
  <si>
    <t>Оплата аналитики</t>
  </si>
  <si>
    <t>У-УАЗ</t>
  </si>
  <si>
    <t>Телеинвест</t>
  </si>
  <si>
    <t>Откат ментам</t>
  </si>
  <si>
    <t>Гагава Ресторантс</t>
  </si>
  <si>
    <t>не работаем</t>
  </si>
  <si>
    <t>АО «Атомспецтранс»</t>
  </si>
  <si>
    <t>Бонус отдела продаж</t>
  </si>
  <si>
    <t>МикроЭм Технологии</t>
  </si>
  <si>
    <t>Итого Себестоимость прочая:</t>
  </si>
  <si>
    <t>НОВЫЕ Разработка</t>
  </si>
  <si>
    <t>цена часа 3500 рост аналитики на 20%</t>
  </si>
  <si>
    <t>820 457,00</t>
  </si>
  <si>
    <t>547 794,03</t>
  </si>
  <si>
    <t>1 168 544,55</t>
  </si>
  <si>
    <t>1 274 622,37</t>
  </si>
  <si>
    <t>1 251 472,33</t>
  </si>
  <si>
    <t>ИП Колосов</t>
  </si>
  <si>
    <t>930 640,00</t>
  </si>
  <si>
    <t>730 419,99</t>
  </si>
  <si>
    <t>673 018,51</t>
  </si>
  <si>
    <t>1 075 819,83</t>
  </si>
  <si>
    <t>1 604 342,85</t>
  </si>
  <si>
    <t>1 613 465,55</t>
  </si>
  <si>
    <t>1 570 021,93</t>
  </si>
  <si>
    <t>1 597 877,03</t>
  </si>
  <si>
    <t>новые</t>
  </si>
  <si>
    <t>23%</t>
  </si>
  <si>
    <t>37%</t>
  </si>
  <si>
    <t>43%</t>
  </si>
  <si>
    <t>38%</t>
  </si>
  <si>
    <t>36%</t>
  </si>
  <si>
    <t>31%</t>
  </si>
  <si>
    <t>40%</t>
  </si>
  <si>
    <t>42%</t>
  </si>
  <si>
    <t>41%</t>
  </si>
  <si>
    <t>48%</t>
  </si>
  <si>
    <t>Операционные расходы</t>
  </si>
  <si>
    <t>Выплата заработной платы(Операционные)</t>
  </si>
  <si>
    <t>130 000,00</t>
  </si>
  <si>
    <t>Примум Мебель</t>
  </si>
  <si>
    <t>ростим зп</t>
  </si>
  <si>
    <t>Итого Операционные расходы:</t>
  </si>
  <si>
    <t>417 794,03</t>
  </si>
  <si>
    <t>1 038 544,55</t>
  </si>
  <si>
    <t>1 144 622,37</t>
  </si>
  <si>
    <t>1 121 472,33</t>
  </si>
  <si>
    <t>800 640,00</t>
  </si>
  <si>
    <t>600 419,99</t>
  </si>
  <si>
    <t>543 018,51</t>
  </si>
  <si>
    <t>945 819,83</t>
  </si>
  <si>
    <t>1 474 342,85</t>
  </si>
  <si>
    <t>1 483 465,55</t>
  </si>
  <si>
    <t>1 440 021,93</t>
  </si>
  <si>
    <t>1 467 877,03</t>
  </si>
  <si>
    <t>Алимп</t>
  </si>
  <si>
    <t>17%</t>
  </si>
  <si>
    <t>33%</t>
  </si>
  <si>
    <t>34%</t>
  </si>
  <si>
    <t>30%</t>
  </si>
  <si>
    <t>25%</t>
  </si>
  <si>
    <t>35%</t>
  </si>
  <si>
    <t>39%</t>
  </si>
  <si>
    <t>44%</t>
  </si>
  <si>
    <t>Коммерческие расходы</t>
  </si>
  <si>
    <t>ПандаЭкспо</t>
  </si>
  <si>
    <t>Выплата заработной платы(Развитие)</t>
  </si>
  <si>
    <t>67 530,00</t>
  </si>
  <si>
    <t>113 330,00</t>
  </si>
  <si>
    <t>114 800,00</t>
  </si>
  <si>
    <t>157 400,00</t>
  </si>
  <si>
    <t>125 000,00</t>
  </si>
  <si>
    <t>79 350,00</t>
  </si>
  <si>
    <t>229 000,00</t>
  </si>
  <si>
    <t>265 000,00</t>
  </si>
  <si>
    <t>230 378,67</t>
  </si>
  <si>
    <t>220 750,00</t>
  </si>
  <si>
    <t>351 431,45</t>
  </si>
  <si>
    <t>Комер дир + 2 ОП</t>
  </si>
  <si>
    <t>Маркетинг</t>
  </si>
  <si>
    <t>10 000,00</t>
  </si>
  <si>
    <t>Бюджет на маркетинг + сео</t>
  </si>
  <si>
    <t>RND</t>
  </si>
  <si>
    <t>ООО "АДЕН МЕТАЛ"»</t>
  </si>
  <si>
    <t>11 000,00</t>
  </si>
  <si>
    <t>Добавлен бюджет на RND</t>
  </si>
  <si>
    <t>Итого Коммерческие расходы:</t>
  </si>
  <si>
    <t>230 750,00</t>
  </si>
  <si>
    <t>АО КМПО "КАЗАНСКОЕ МОТОРОСТРОИТЕЛЬНОЕ ПРОИЗВОДСТВЕННОЕ ОБЪЕДИНЕНИЕ</t>
  </si>
  <si>
    <t>350 264,03</t>
  </si>
  <si>
    <t>925 214,55</t>
  </si>
  <si>
    <t>1 061 622,37</t>
  </si>
  <si>
    <t>1 006 672,33</t>
  </si>
  <si>
    <t>643 240,00</t>
  </si>
  <si>
    <t>475 419,99</t>
  </si>
  <si>
    <t>463 668,51</t>
  </si>
  <si>
    <t>716 819,83</t>
  </si>
  <si>
    <t>1 209 342,85</t>
  </si>
  <si>
    <t>1 253 086,88</t>
  </si>
  <si>
    <t>1 209 271,93</t>
  </si>
  <si>
    <t>1 116 445,58</t>
  </si>
  <si>
    <t>14%</t>
  </si>
  <si>
    <t>29%</t>
  </si>
  <si>
    <t>Икс ком</t>
  </si>
  <si>
    <t>24%</t>
  </si>
  <si>
    <t>21%</t>
  </si>
  <si>
    <t>26%</t>
  </si>
  <si>
    <t>Артис</t>
  </si>
  <si>
    <t>32%</t>
  </si>
  <si>
    <t>Симон</t>
  </si>
  <si>
    <t>Ууаз</t>
  </si>
  <si>
    <t>Газпром</t>
  </si>
  <si>
    <t>Прочее</t>
  </si>
  <si>
    <t>Фортекс</t>
  </si>
  <si>
    <t>Средняя ставка</t>
  </si>
  <si>
    <t>Сезонность (справочно)</t>
  </si>
  <si>
    <t>аналитика Федоров</t>
  </si>
  <si>
    <t>Часы (предел)</t>
  </si>
  <si>
    <t>Постоянные расходы</t>
  </si>
  <si>
    <t>Я</t>
  </si>
  <si>
    <t>Налоги</t>
  </si>
  <si>
    <t>402 000,00</t>
  </si>
  <si>
    <t>330 000,00</t>
  </si>
  <si>
    <t>75 000,00</t>
  </si>
  <si>
    <t>100 000,00</t>
  </si>
  <si>
    <t>Ф</t>
  </si>
  <si>
    <t>Сокращение налогово до 2%</t>
  </si>
  <si>
    <t>М</t>
  </si>
  <si>
    <t>Аренда серверов</t>
  </si>
  <si>
    <t>4 075,00</t>
  </si>
  <si>
    <t>А</t>
  </si>
  <si>
    <t>оптимизация затрат</t>
  </si>
  <si>
    <t>Транспорт</t>
  </si>
  <si>
    <t>4 297,79</t>
  </si>
  <si>
    <t>569,50</t>
  </si>
  <si>
    <t>530,00</t>
  </si>
  <si>
    <t>2 000,00</t>
  </si>
  <si>
    <t>4 820,00</t>
  </si>
  <si>
    <t>3 252,89</t>
  </si>
  <si>
    <t>2 246,51</t>
  </si>
  <si>
    <t>3 000,00</t>
  </si>
  <si>
    <t>3 634,00</t>
  </si>
  <si>
    <t>2 510,00</t>
  </si>
  <si>
    <t>ИТОГО Новая разработка</t>
  </si>
  <si>
    <t>Оптимизация затрат</t>
  </si>
  <si>
    <t>И</t>
  </si>
  <si>
    <t>Аренда офиса</t>
  </si>
  <si>
    <t>115 572,80</t>
  </si>
  <si>
    <t>78 106,41</t>
  </si>
  <si>
    <t>81 043,83</t>
  </si>
  <si>
    <t>Связь</t>
  </si>
  <si>
    <t>7 803,23</t>
  </si>
  <si>
    <t>16 900,00</t>
  </si>
  <si>
    <t>19 000,00</t>
  </si>
  <si>
    <t>6 900,00</t>
  </si>
  <si>
    <t>13 900,00</t>
  </si>
  <si>
    <t>15 400,00</t>
  </si>
  <si>
    <t>С</t>
  </si>
  <si>
    <t>снижение трафика, собственная линия связи</t>
  </si>
  <si>
    <t>Офис</t>
  </si>
  <si>
    <t>О</t>
  </si>
  <si>
    <t>55 287,00</t>
  </si>
  <si>
    <t>95 419,53</t>
  </si>
  <si>
    <t>103 734,00</t>
  </si>
  <si>
    <t>86 304,00</t>
  </si>
  <si>
    <t>100 641,00</t>
  </si>
  <si>
    <t>72 122,00</t>
  </si>
  <si>
    <t>73 427,44</t>
  </si>
  <si>
    <t>26 652,00</t>
  </si>
  <si>
    <t>85 686,00</t>
  </si>
  <si>
    <t>62 027,00</t>
  </si>
  <si>
    <t>53 657,00</t>
  </si>
  <si>
    <t>132 652,10</t>
  </si>
  <si>
    <t>Н</t>
  </si>
  <si>
    <t>Контроль затрат (не более 41 600 в мес.)</t>
  </si>
  <si>
    <t>Выплата заработной платы(Коммерческие)</t>
  </si>
  <si>
    <t>360 000,00</t>
  </si>
  <si>
    <t>Д</t>
  </si>
  <si>
    <t>Комисии</t>
  </si>
  <si>
    <t>14 507,00</t>
  </si>
  <si>
    <t>18 313,50</t>
  </si>
  <si>
    <t>13 854,50</t>
  </si>
  <si>
    <t>11 662,50</t>
  </si>
  <si>
    <t>13 394,00</t>
  </si>
  <si>
    <t>9 758,71</t>
  </si>
  <si>
    <t>2 436,64</t>
  </si>
  <si>
    <t>13 133,43</t>
  </si>
  <si>
    <t>10 827,00</t>
  </si>
  <si>
    <t>12 883,15</t>
  </si>
  <si>
    <t>10 305,75</t>
  </si>
  <si>
    <t>29 163,90</t>
  </si>
  <si>
    <t>сокращаем комиссии</t>
  </si>
  <si>
    <t>Обучение</t>
  </si>
  <si>
    <t>500,00</t>
  </si>
  <si>
    <t>1 000,00</t>
  </si>
  <si>
    <t>14 800,00</t>
  </si>
  <si>
    <t>Увеличиваем бюджет на обучение</t>
  </si>
  <si>
    <t>Налоги ЗП</t>
  </si>
  <si>
    <t>фев.26</t>
  </si>
  <si>
    <t>285 000,00</t>
  </si>
  <si>
    <t>май.26</t>
  </si>
  <si>
    <t>сен.26</t>
  </si>
  <si>
    <t>ноя.26</t>
  </si>
  <si>
    <t>сокращаем налог на зп</t>
  </si>
  <si>
    <t>Итого Постоянные расходы:</t>
  </si>
  <si>
    <t>963 542,81</t>
  </si>
  <si>
    <t>1 012 850,31</t>
  </si>
  <si>
    <t>1 016 666,30</t>
  </si>
  <si>
    <t>898 047,94</t>
  </si>
  <si>
    <t>910 153,83</t>
  </si>
  <si>
    <t>879 219,53</t>
  </si>
  <si>
    <t>862 635,79</t>
  </si>
  <si>
    <t>865 050,78</t>
  </si>
  <si>
    <t>946 531,83</t>
  </si>
  <si>
    <t>922 563,00</t>
  </si>
  <si>
    <t>926 791,59</t>
  </si>
  <si>
    <t>1 008 834,84</t>
  </si>
  <si>
    <t>Добавила 50000 от ПИ на РНД</t>
  </si>
  <si>
    <t>-613 278,78</t>
  </si>
  <si>
    <t>-87 635,76</t>
  </si>
  <si>
    <t>44 956,07</t>
  </si>
  <si>
    <t>108 624,39</t>
  </si>
  <si>
    <t>-266 913,83</t>
  </si>
  <si>
    <t>-403 799,54</t>
  </si>
  <si>
    <t>-398 967,28</t>
  </si>
  <si>
    <t>-148 230,95</t>
  </si>
  <si>
    <t>262 811,02</t>
  </si>
  <si>
    <t>330 523,88</t>
  </si>
  <si>
    <t>282 480,34</t>
  </si>
  <si>
    <t>107 610,74</t>
  </si>
  <si>
    <t>-25%</t>
  </si>
  <si>
    <t>-3%</t>
  </si>
  <si>
    <t>1%</t>
  </si>
  <si>
    <t>3%</t>
  </si>
  <si>
    <t>-10%</t>
  </si>
  <si>
    <t>-21%</t>
  </si>
  <si>
    <t>-18%</t>
  </si>
  <si>
    <t>-5%</t>
  </si>
  <si>
    <t>7%</t>
  </si>
  <si>
    <t>8%</t>
  </si>
  <si>
    <t>9%</t>
  </si>
  <si>
    <t>Справочно</t>
  </si>
  <si>
    <t>Количество закрытых часов</t>
  </si>
  <si>
    <t>770,20</t>
  </si>
  <si>
    <t>1 075,80</t>
  </si>
  <si>
    <t>988,50</t>
  </si>
  <si>
    <t>980,40</t>
  </si>
  <si>
    <t>932,70</t>
  </si>
  <si>
    <t>683,20</t>
  </si>
  <si>
    <t>752,00</t>
  </si>
  <si>
    <t>893,40</t>
  </si>
  <si>
    <t>1 300,40</t>
  </si>
  <si>
    <t>1 314,90</t>
  </si>
  <si>
    <t>1 058,10</t>
  </si>
  <si>
    <t>1 118,10</t>
  </si>
  <si>
    <t>Из них маркетинга</t>
  </si>
  <si>
    <t>85,60</t>
  </si>
  <si>
    <t>363,60</t>
  </si>
  <si>
    <t>295,80</t>
  </si>
  <si>
    <t>229,00</t>
  </si>
  <si>
    <t>43,20</t>
  </si>
  <si>
    <t>31,30</t>
  </si>
  <si>
    <t>16,50</t>
  </si>
  <si>
    <t>91,60</t>
  </si>
  <si>
    <t>151,00</t>
  </si>
  <si>
    <t>108,20</t>
  </si>
  <si>
    <t>137,10</t>
  </si>
  <si>
    <t>74,90</t>
  </si>
  <si>
    <t>ООО "ЗЕЛПАК"</t>
  </si>
  <si>
    <t>цена часа 3800</t>
  </si>
  <si>
    <t>Средняя цена часа:</t>
  </si>
  <si>
    <t>2 804,62</t>
  </si>
  <si>
    <t>2 773,95</t>
  </si>
  <si>
    <t>2 837,23</t>
  </si>
  <si>
    <t>2 708,98</t>
  </si>
  <si>
    <t>2 684,51</t>
  </si>
  <si>
    <t>2 710,47</t>
  </si>
  <si>
    <t>2 675,27</t>
  </si>
  <si>
    <t>2 676,55</t>
  </si>
  <si>
    <t>2 680,89</t>
  </si>
  <si>
    <t>2 679,77</t>
  </si>
  <si>
    <t>2 955,94</t>
  </si>
  <si>
    <t>2 958,49</t>
  </si>
  <si>
    <t>Средняя себестоимость часа:</t>
  </si>
  <si>
    <t>2 220,66</t>
  </si>
  <si>
    <t>1 777,45</t>
  </si>
  <si>
    <t>1 648,59</t>
  </si>
  <si>
    <t>1 754,46</t>
  </si>
  <si>
    <t>1 736,23</t>
  </si>
  <si>
    <t>1 731,00</t>
  </si>
  <si>
    <t>1 893,91</t>
  </si>
  <si>
    <t>1 600,94</t>
  </si>
  <si>
    <t>1 563,08</t>
  </si>
  <si>
    <t>1 597,54</t>
  </si>
  <si>
    <t>1 551,30</t>
  </si>
  <si>
    <t>1 684,39</t>
  </si>
  <si>
    <t>Рентабельность часа:</t>
  </si>
  <si>
    <t>583,96</t>
  </si>
  <si>
    <t>996,50</t>
  </si>
  <si>
    <t>1 188,64</t>
  </si>
  <si>
    <t>954,51</t>
  </si>
  <si>
    <t>948,27</t>
  </si>
  <si>
    <t>979,46</t>
  </si>
  <si>
    <t>781,35</t>
  </si>
  <si>
    <t>1 075,61</t>
  </si>
  <si>
    <t>1 117,81</t>
  </si>
  <si>
    <t>1 082,23</t>
  </si>
  <si>
    <t>1 404,64</t>
  </si>
  <si>
    <t>1 274,11</t>
  </si>
  <si>
    <t>Доходность часа:</t>
  </si>
  <si>
    <t>ИП Абрамова Дарья Валерьевна</t>
  </si>
  <si>
    <t>новая продажа</t>
  </si>
  <si>
    <t>ИП Саипов Арсен Салмурзаевич</t>
  </si>
  <si>
    <t>Мангала</t>
  </si>
  <si>
    <t>рэк 2</t>
  </si>
  <si>
    <t>технокомп</t>
  </si>
  <si>
    <t>ДОГОВОР № 09/09/2025
 на Интеграцию 1C по API с B2B</t>
  </si>
  <si>
    <t>пакмен 2</t>
  </si>
  <si>
    <t>Жилстрой</t>
  </si>
  <si>
    <t>Вилар</t>
  </si>
  <si>
    <t>Виста групп</t>
  </si>
  <si>
    <t>Инфинити</t>
  </si>
  <si>
    <t>Кертинг</t>
  </si>
  <si>
    <t>прочие</t>
  </si>
  <si>
    <t>январь</t>
  </si>
  <si>
    <t>февраль</t>
  </si>
  <si>
    <t>март</t>
  </si>
  <si>
    <t xml:space="preserve">апрель 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</si>
  <si>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</si>
  <si>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</si>
  <si>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</si>
  <si>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</si>
  <si>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</si>
  <si>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</si>
  <si>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</si>
  <si>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ООО "СТГ ГВАРД"</t>
  </si>
  <si>
    <t>30 000,00 р</t>
  </si>
  <si>
    <t>ДИС-3</t>
  </si>
  <si>
    <t>ИП Александров Юрий Александрович</t>
  </si>
  <si>
    <t>НПП СПЕКТР</t>
  </si>
  <si>
    <t>ИП Дрынова Наталья Валерьевна</t>
  </si>
  <si>
    <t>30.06.2025, год бесплатно</t>
  </si>
  <si>
    <t>49 000,00 р</t>
  </si>
  <si>
    <t>ИП Семашкина Анна Александровна</t>
  </si>
  <si>
    <t>возврат</t>
  </si>
  <si>
    <t>ООО "Примум Мебель"</t>
  </si>
  <si>
    <t>53 100,00 р</t>
  </si>
  <si>
    <t>ООО "ИНАРИ ГРУПП"</t>
  </si>
  <si>
    <t>29 авугста 2025</t>
  </si>
  <si>
    <t>29 авугста 2026</t>
  </si>
  <si>
    <t>29 000,00 р</t>
  </si>
  <si>
    <t>СПЕКТР</t>
  </si>
  <si>
    <t>ИП Семашкина Анна Александровна (ООО "Правда")</t>
  </si>
  <si>
    <t>ООО "РЭК"</t>
  </si>
  <si>
    <t>Примум мебель</t>
  </si>
  <si>
    <t>ООО "ЦТС"</t>
  </si>
  <si>
    <t>Инари групп</t>
  </si>
  <si>
    <t>ЦТС</t>
  </si>
  <si>
    <t>ИП Хабаров Александр Юрьевич</t>
  </si>
  <si>
    <t>59 000,00 р</t>
  </si>
  <si>
    <t>Петренко максим викторович</t>
  </si>
  <si>
    <t>ООО "ХИТСАД"</t>
  </si>
  <si>
    <t>Технокомп</t>
  </si>
  <si>
    <t>ДОГОВОР № 09/09/2025</t>
  </si>
  <si>
    <t>ИП Колосов Александр Васильевич</t>
  </si>
  <si>
    <t>61 950,00 р</t>
  </si>
  <si>
    <t>на Интеграцию 1C по API с B2B</t>
  </si>
  <si>
    <t>Детали Опт</t>
  </si>
  <si>
    <t>Прочие</t>
  </si>
  <si>
    <t>Отклонение плана рук от плана ЛСА</t>
  </si>
  <si>
    <t>План ЛСА</t>
  </si>
  <si>
    <t>Отклонение</t>
  </si>
  <si>
    <t>3 840 000,00</t>
  </si>
  <si>
    <t>1 000 000,00</t>
  </si>
  <si>
    <t>5 840 000,00</t>
  </si>
  <si>
    <t>19 426 625,71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</si>
  <si>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</si>
  <si>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</si>
  <si>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</si>
  <si>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</si>
  <si>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</si>
  <si>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</si>
  <si>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</si>
  <si>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</si>
  <si>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</si>
  <si>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</si>
  <si>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</si>
  <si>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</si>
  <si>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ИТОГО</t>
  </si>
  <si>
    <t xml:space="preserve">План </t>
  </si>
  <si>
    <t>3 970 100,47</t>
  </si>
  <si>
    <t>70 000,00</t>
  </si>
  <si>
    <t>50 000,00</t>
  </si>
  <si>
    <t>150 000,00</t>
  </si>
  <si>
    <t>500 000,00</t>
  </si>
  <si>
    <t>5 000 000,00</t>
  </si>
  <si>
    <t>14 910 200,94</t>
  </si>
  <si>
    <t>4 516 424,77</t>
  </si>
  <si>
    <t>02.2.Выручка сервера</t>
  </si>
  <si>
    <t>03.2.Выручка коробки</t>
  </si>
  <si>
    <t>04.2.Выручка поддержка</t>
  </si>
  <si>
    <t>05.2.Выручка продукты</t>
  </si>
  <si>
    <t>ЗП</t>
  </si>
  <si>
    <t>мес</t>
  </si>
  <si>
    <t>официальные</t>
  </si>
  <si>
    <t>самозанятые</t>
  </si>
  <si>
    <t>Нал</t>
  </si>
  <si>
    <t>налог зп</t>
  </si>
  <si>
    <t>я</t>
  </si>
  <si>
    <t>ф</t>
  </si>
  <si>
    <t>м</t>
  </si>
  <si>
    <t>а</t>
  </si>
  <si>
    <t>и</t>
  </si>
  <si>
    <t>с</t>
  </si>
  <si>
    <t>о</t>
  </si>
  <si>
    <t>н</t>
  </si>
  <si>
    <t>д</t>
  </si>
  <si>
    <t>Официальные сотрудники</t>
  </si>
  <si>
    <t>оклад на руки</t>
  </si>
  <si>
    <t>Налог с оклада</t>
  </si>
  <si>
    <t xml:space="preserve">Самозанятые </t>
  </si>
  <si>
    <t>комиссии</t>
  </si>
  <si>
    <t>Агеев</t>
  </si>
  <si>
    <t>Виктория</t>
  </si>
  <si>
    <t>альфа ВС</t>
  </si>
  <si>
    <t>за вывод 10млн + мелоч</t>
  </si>
  <si>
    <t>Гатих</t>
  </si>
  <si>
    <t>Клишев</t>
  </si>
  <si>
    <t>Модуль ПД</t>
  </si>
  <si>
    <t>Голубев</t>
  </si>
  <si>
    <t>Фильчуков</t>
  </si>
  <si>
    <t>Модуль ВС (500 переводы в месяц)</t>
  </si>
  <si>
    <t>ЕЖЕМЕСЯЧНО ПО 4900+990 БЕЛЫЙ БИЗНЕС+200 БЕЗОПАСНОСТЬ СЧЕТА</t>
  </si>
  <si>
    <t>Аналитик</t>
  </si>
  <si>
    <t>Модуль АИ</t>
  </si>
  <si>
    <t>Комаров</t>
  </si>
  <si>
    <t>Ральченко</t>
  </si>
  <si>
    <t>Абросимова</t>
  </si>
  <si>
    <t>Львов</t>
  </si>
  <si>
    <t>УСН</t>
  </si>
  <si>
    <t>Макшанова</t>
  </si>
  <si>
    <t>НДС</t>
  </si>
  <si>
    <t>Никешин</t>
  </si>
  <si>
    <t>ИП ПД</t>
  </si>
  <si>
    <t>Федоров</t>
  </si>
  <si>
    <t>ИП ВС</t>
  </si>
  <si>
    <t>Самозанятый Клишев</t>
  </si>
  <si>
    <t xml:space="preserve">средняя </t>
  </si>
  <si>
    <t>Максимаотный ФОТ официальный</t>
  </si>
  <si>
    <t xml:space="preserve">выручка </t>
  </si>
  <si>
    <t xml:space="preserve">ЗП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</si>
</sst>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1">
    <numFmt numFmtId="164" formatCode="[=1620120]&quot;1 620 120,00&quot;;General"/>
    <numFmt numFmtId="165" formatCode="[=2444220]&quot;2 444 220,00&quot;;General"/>
    <numFmt numFmtId="166" formatCode="[=2124600]&quot;2 124 600,00&quot;;General"/>
    <numFmt numFmtId="167" formatCode="[=2080780]&quot;2 080 780,00&quot;;General"/>
    <numFmt numFmtId="168" formatCode="[=2503840]&quot;2 503 840,00&quot;;General"/>
    <numFmt numFmtId="169" formatCode="[=1851790]&quot;1 851 790,00&quot;;General"/>
    <numFmt numFmtId="170" formatCode="[=2011800]&quot;2 011 800,00&quot;;General"/>
    <numFmt numFmtId="171" formatCode="[=2391230]&quot;2 391 230,00&quot;;General"/>
    <numFmt numFmtId="172" formatCode="[=3486230]&quot;3 486 230,00&quot;;General"/>
    <numFmt numFmtId="173" formatCode="[=3523630]&quot;3 523 630,00&quot;;General"/>
    <numFmt numFmtId="174" formatCode="[=3127680]&quot;3 127 680,00&quot;;General"/>
    <numFmt numFmtId="175" formatCode="[=3307890]&quot;3 307 890,00&quot;;General"/>
    <numFmt numFmtId="176" formatCode="[=5000]&quot;5 000,00&quot;;General"/>
    <numFmt numFmtId="177" formatCode="[=0]&quot;&quot;;General"/>
    <numFmt numFmtId="178" formatCode="[=104700]&quot;104 700,00&quot;;General"/>
    <numFmt numFmtId="179" formatCode="[=88128]&quot;88 128,00&quot;;General"/>
    <numFmt numFmtId="180" formatCode="[=134280]&quot;134 280,00&quot;;General"/>
    <numFmt numFmtId="181" formatCode="[=44064]&quot;44 064,00&quot;;General"/>
    <numFmt numFmtId="182" formatCode="[=12000]&quot;12 000,00&quot;;General"/>
    <numFmt numFmtId="183" formatCode="[=169700]&quot;169 700,00&quot;;General"/>
    <numFmt numFmtId="184" formatCode="[=183020]&quot;183 020,00&quot;;General"/>
    <numFmt numFmtId="185" formatCode="[=189300]&quot;189 300,00&quot;;General"/>
    <numFmt numFmtId="186" formatCode="[=223790]&quot;223 790,00&quot;;General"/>
    <numFmt numFmtId="187" formatCode="[=82370]&quot;82 370,00&quot;;General"/>
    <numFmt numFmtId="188" formatCode="[=112500]&quot;112 500,00&quot;;General"/>
    <numFmt numFmtId="189" formatCode="[=99200]&quot;99 200,00&quot;;General"/>
    <numFmt numFmtId="190" formatCode="[=102500]&quot;102 500,00&quot;;General"/>
    <numFmt numFmtId="191" formatCode="[=110000]&quot;110 000,00&quot;;General"/>
    <numFmt numFmtId="192" formatCode="[=113750]&quot;113 750,00&quot;;General"/>
    <numFmt numFmtId="193" formatCode="[=83410]&quot;83 410,00&quot;;General"/>
    <numFmt numFmtId="194" formatCode="[=2420620]&quot;2 420 620,00&quot;;General"/>
    <numFmt numFmtId="195" formatCode="[=3172240]&quot;3 172 240,00&quot;;General"/>
    <numFmt numFmtId="196" formatCode="[=2998900]&quot;2 998 900,00&quot;;General"/>
    <numFmt numFmtId="197" formatCode="[=3264470]&quot;3 264 470,00&quot;;General"/>
    <numFmt numFmtId="198" formatCode="[=2591210]&quot;2 591 210,00&quot;;General"/>
    <numFmt numFmtId="199" formatCode="[=1969290]&quot;1 969 290,00&quot;;General"/>
    <numFmt numFmtId="200" formatCode="[=2204128]&quot;2 204 128,00&quot;;General"/>
    <numFmt numFmtId="201" formatCode="[=2716010]&quot;2 716 010,00&quot;;General"/>
    <numFmt numFmtId="202" formatCode="[=3826646]&quot;3 826 646,00&quot;;General"/>
    <numFmt numFmtId="203" formatCode="[=3912080]&quot;3 912 080,00&quot;;General"/>
    <numFmt numFmtId="204" formatCode="[=3293406]&quot;3 293 406,00&quot;;General"/>
    <numFmt numFmtId="205" formatCode="[=3688168]&quot;3 688 168,00&quot;;General"/>
    <numFmt numFmtId="206" formatCode="[=658142.69]&quot;658 142,69&quot;;General"/>
    <numFmt numFmtId="207" formatCode="[=838233.76]&quot;838 233,76&quot;;General"/>
    <numFmt numFmtId="208" formatCode="[=784464.24]&quot;784 464,24&quot;;General"/>
    <numFmt numFmtId="209" formatCode="[=737684.19]&quot;737 684,19&quot;;General"/>
    <numFmt numFmtId="210" formatCode="[=926060]&quot;926 060,00&quot;;General"/>
    <numFmt numFmtId="211" formatCode="[=696980.01]&quot;696 980,01&quot;;General"/>
    <numFmt numFmtId="212" formatCode="[=785160.01]&quot;785 160,01&quot;;General"/>
    <numFmt numFmtId="213" formatCode="[=850099.99]&quot;850 099,99&quot;;General"/>
    <numFmt numFmtId="214" formatCode="[=1227780.01]&quot;1 227 780,01&quot;;General"/>
    <numFmt numFmtId="215" formatCode="[=1280520]&quot;1 280 520,00&quot;;General"/>
    <numFmt numFmtId="216" formatCode="[=966659.99]&quot;966 659,99&quot;;General"/>
    <numFmt numFmtId="217" formatCode="[=1104559.97]&quot;1 104 559,97&quot;;General"/>
    <numFmt numFmtId="218" formatCode="[=47154.67]&quot;47 154,67&quot;;General"/>
    <numFmt numFmtId="219" formatCode="[=57288]&quot;57 288,00&quot;;General"/>
    <numFmt numFmtId="220" formatCode="[=93996]&quot;93 996,00&quot;;General"/>
    <numFmt numFmtId="221" formatCode="[=28644]&quot;28 644,00&quot;;General"/>
    <numFmt numFmtId="222" formatCode="[=5400]&quot;5 400,00&quot;;General"/>
    <numFmt numFmtId="223" formatCode="[=908295.97]&quot;908 295,97&quot;;General"/>
    <numFmt numFmtId="224" formatCode="[=916995.45]&quot;916 995,45&quot;;General"/>
    <numFmt numFmtId="225" formatCode="[=858797.63]&quot;858 797,63&quot;;General"/>
    <numFmt numFmtId="226" formatCode="d mmmm yyyy"/>
    <numFmt numFmtId="227" formatCode="[=982350.67]&quot;982 350,67&quot;;General"/>
    <numFmt numFmtId="228" formatCode="[=842448.01]&quot;842 448,01&quot;;General"/>
    <numFmt numFmtId="229" formatCode="[=1008756.17]&quot;1 008 756,17&quot;;General"/>
    <numFmt numFmtId="230" formatCode="[=1362459.15]&quot;1 362 459,15&quot;;General"/>
    <numFmt numFmtId="231" formatCode="[=1427273]&quot;1 427 273,00&quot;;General"/>
    <numFmt numFmtId="232" formatCode="[=991739.99]&quot;991 739,99&quot;;General"/>
    <numFmt numFmtId="233" formatCode="dd mmmm yyyy"/>
    <numFmt numFmtId="234" formatCode="[=1269833.97]&quot;1 269 833,97&quot;;General"/>
    <numFmt numFmtId="235" formatCode="[=1512324.03]&quot;1 512 324,03&quot;;General"/>
    <numFmt numFmtId="236" formatCode="[=2255244.55]&quot;2 255 244,55&quot;;General"/>
    <numFmt numFmtId="237" formatCode="[=2140102.37]&quot;2 140 102,37&quot;;General"/>
    <numFmt numFmtId="238" formatCode="[=2282119.33]&quot;2 282 119,33&quot;;General"/>
    <numFmt numFmtId="239" formatCode="[=1665150]&quot;1 665 150,00&quot;;General"/>
    <numFmt numFmtId="240" formatCode="[=1272309.99]&quot;1 272 309,99&quot;;General"/>
    <numFmt numFmtId="241" formatCode="[=1361679.99]&quot;1 361 679,99&quot;;General"/>
    <numFmt numFmtId="242" formatCode="[=1707253.83]&quot;1 707 253,83&quot;;General"/>
    <numFmt numFmtId="243" formatCode="[=2464186.85]&quot;2 464 186,85&quot;;General"/>
    <numFmt numFmtId="244" formatCode="[=2484807]&quot;2 484 807,00&quot;;General"/>
    <numFmt numFmtId="245" formatCode="[=2301666.01]&quot;2 301 666,01&quot;;General"/>
    <numFmt numFmtId="246" formatCode="[=2418334.03]&quot;2 418 334,03&quot;;General"/>
    <numFmt numFmtId="247" formatCode="[=0.624767220794672]&quot;62%&quot;;General"/>
    <numFmt numFmtId="248" formatCode="[=0.710931250472851]&quot;71%&quot;;General"/>
    <numFmt numFmtId="249" formatCode="[=0.713629120677581]&quot;71%&quot;;General"/>
    <numFmt numFmtId="250" formatCode="[=0.699078052486314]&quot;70%&quot;;General"/>
    <numFmt numFmtId="251" formatCode="[=0.642614840171194]&quot;64%&quot;;General"/>
    <numFmt numFmtId="252" formatCode="[=0.646075484057706]&quot;65%&quot;;General"/>
    <numFmt numFmtId="253" formatCode="[=0.617786258329824]&quot;62%&quot;;General"/>
    <numFmt numFmtId="254" formatCode="[=0.628588933766812]&quot;63%&quot;;General"/>
    <numFmt numFmtId="255" formatCode="[=0.643954745225975]&quot;64%&quot;;General"/>
    <numFmt numFmtId="256" formatCode="[=0.635162624486206]&quot;64%&quot;;General"/>
    <numFmt numFmtId="257" formatCode="[=0.698871019849966]&quot;70%&quot;;General"/>
    <numFmt numFmtId="258" formatCode="[=0.655700616132453]&quot;66%&quot;;General"/>
    <numFmt numFmtId="259" formatCode="[=396200]&quot;396 200,00&quot;;General"/>
    <numFmt numFmtId="260" formatCode="[=468740]&quot;468 740,00&quot;;General"/>
    <numFmt numFmtId="261" formatCode="[=267100]&quot;267 100,00&quot;;General"/>
    <numFmt numFmtId="262" formatCode="[=241360]&quot;241 360,00&quot;;General"/>
    <numFmt numFmtId="263" formatCode="[=171180]&quot;171 180,00&quot;;General"/>
    <numFmt numFmtId="264" formatCode="[=165000]&quot;165 000,00&quot;;General"/>
    <numFmt numFmtId="265" formatCode="[=162590.1]&quot;162 590,10&quot;;General"/>
    <numFmt numFmtId="266" formatCode="[=120000]&quot;120 000,00&quot;;General"/>
    <numFmt numFmtId="267" formatCode="[=126800]&quot;126 800,00&quot;;General"/>
    <numFmt numFmtId="268" formatCode="[=283900]&quot;283 900,00&quot;;General"/>
    <numFmt numFmtId="269" formatCode="[=219510]&quot;219 510,00&quot;;General"/>
    <numFmt numFmtId="270" formatCode="[=174300]&quot;174 300,00&quot;;General"/>
    <numFmt numFmtId="271" formatCode="[=287200]&quot;287 200,00&quot;;General"/>
    <numFmt numFmtId="272" formatCode="[=158450]&quot;158 450,00&quot;;General"/>
    <numFmt numFmtId="273" formatCode="[=66100]&quot;66 100,00&quot;;General"/>
    <numFmt numFmtId="274" formatCode="[=39200]&quot;39 200,00&quot;;General"/>
    <numFmt numFmtId="275" formatCode="[=17400]&quot;17 400,00&quot;;General"/>
    <numFmt numFmtId="276" formatCode="[=26500]&quot;26 500,00&quot;;General"/>
    <numFmt numFmtId="277" formatCode="[=29900]&quot;29 900,00&quot;;General"/>
    <numFmt numFmtId="278" formatCode="[=11200]&quot;11 200,00&quot;;General"/>
    <numFmt numFmtId="279" formatCode="[=34900]&quot;34 900,00&quot;;General"/>
    <numFmt numFmtId="280" formatCode="[=32730]&quot;32 730,00&quot;;General"/>
    <numFmt numFmtId="281" formatCode="[=31500]&quot;31 500,00&quot;;General"/>
    <numFmt numFmtId="282" formatCode="[=55000]&quot;55 000,00&quot;;General"/>
    <numFmt numFmtId="283" formatCode="[=116000]&quot;116 000,00&quot;;General"/>
    <numFmt numFmtId="284" formatCode="[=66300]&quot;66 300,00&quot;;General"/>
    <numFmt numFmtId="285" formatCode="[=73100]&quot;73 100,00&quot;;General"/>
    <numFmt numFmtId="286" formatCode="[=255801.38]&quot;255 801,38&quot;;General"/>
    <numFmt numFmtId="287" formatCode="[=155414]&quot;155 414,00&quot;;General"/>
    <numFmt numFmtId="288" formatCode="[=152314]&quot;152 314,00&quot;;General"/>
    <numFmt numFmtId="289" formatCode="[=166961.45]&quot;166 961,45&quot;;General"/>
    <numFmt numFmtId="290" formatCode="[=137324.08]&quot;137 324,08&quot;;General"/>
    <numFmt numFmtId="291" formatCode="[=159897]&quot;159 897,00&quot;;General"/>
    <numFmt numFmtId="292" formatCode="[=143940]&quot;143 940,00&quot;;General"/>
    <numFmt numFmtId="293" formatCode="[=169800]&quot;169 800,00&quot;;General"/>
    <numFmt numFmtId="294" formatCode="[=168620]&quot;168 620,00&quot;;General"/>
    <numFmt numFmtId="295" formatCode="[=172340]&quot;172 340,00&quot;;General"/>
    <numFmt numFmtId="296" formatCode="[=192320]&quot;192 320,00&quot;;General"/>
    <numFmt numFmtId="297" formatCode="[=136840]&quot;136 840,00&quot;;General"/>
    <numFmt numFmtId="298" formatCode="[=140400]&quot;140 400,00&quot;;General"/>
    <numFmt numFmtId="299" formatCode="[=176520]&quot;176 520,00&quot;;General"/>
    <numFmt numFmtId="300" formatCode="[=262480]&quot;262 480,00&quot;;General"/>
    <numFmt numFmtId="301" formatCode="[=259980]&quot;259 980,00&quot;;General"/>
    <numFmt numFmtId="302" formatCode="[=202300]&quot;202 300,00&quot;;General"/>
    <numFmt numFmtId="303" formatCode="[=224160]&quot;224 160,00&quot;;General"/>
    <numFmt numFmtId="304" formatCode="[=107760]&quot;107 760,00&quot;;General"/>
    <numFmt numFmtId="305" formatCode="[=197150]&quot;197 150,00&quot;;General"/>
    <numFmt numFmtId="306" formatCode="[=200460]&quot;200 460,00&quot;;General"/>
    <numFmt numFmtId="307" formatCode="[=213747]&quot;213 747,00&quot;;General"/>
    <numFmt numFmtId="308" formatCode="[=146260]&quot;146 260,00&quot;;General"/>
    <numFmt numFmtId="309" formatCode="[=82850]&quot;82 850,00&quot;;General"/>
    <numFmt numFmtId="310" formatCode="[=89350]&quot;89 350,00&quot;;General"/>
    <numFmt numFmtId="311" formatCode="[=162100]&quot;162 100,00&quot;;General"/>
    <numFmt numFmtId="312" formatCode="[=285800]&quot;285 800,00&quot;;General"/>
    <numFmt numFmtId="313" formatCode="[=287700]&quot;287 700,00&quot;;General"/>
    <numFmt numFmtId="314" formatCode="[=260820]&quot;260 820,00&quot;;General"/>
    <numFmt numFmtId="315" formatCode="[=281500]&quot;281 500,00&quot;;General"/>
    <numFmt numFmtId="316" formatCode="[=18000]&quot;18 000,00&quot;;General"/>
    <numFmt numFmtId="317" formatCode="[=1320]&quot;1 320,00&quot;;General"/>
    <numFmt numFmtId="318" formatCode="[=12750]&quot;12 750,00&quot;;General"/>
    <numFmt numFmtId="319" formatCode="[=964530]&quot;964 530,00&quot;;General"/>
    <numFmt numFmtId="320" formatCode="[=1086700]&quot;1 086 700,00&quot;;General"/>
    <numFmt numFmtId="321" formatCode="[=865480]&quot;865 480,00&quot;;General"/>
    <numFmt numFmtId="322" formatCode="[=1030647]&quot;1 030 647,00&quot;;General"/>
    <numFmt numFmtId="323" formatCode="[=734510]&quot;734 510,00&quot;;General"/>
    <numFmt numFmtId="324" formatCode="[=541890]&quot;541 890,00&quot;;General"/>
    <numFmt numFmtId="325" formatCode="[=688661.48]&quot;688 661,48&quot;;General"/>
    <numFmt numFmtId="326" formatCode="[=631434]&quot;631 434,00&quot;;General"/>
    <numFmt numFmtId="327" formatCode="[=859844]&quot;859 844,00&quot;;General"/>
    <numFmt numFmtId="328" formatCode="[=871341.45]&quot;871 341,45&quot;;General"/>
    <numFmt numFmtId="329" formatCode="[=731644.08]&quot;731 644,08&quot;;General"/>
    <numFmt numFmtId="330" formatCode="[=83000]&quot;83 000,00&quot;;General"/>
    <numFmt numFmtId="331" formatCode="0.00000000"/>
    <numFmt numFmtId="332" formatCode="mmmd"/>
    <numFmt numFmtId="333" formatCode="dd.mm.yyyy"/>
    <numFmt numFmtId="334" formatCode="d.m.yyyy"/>
  </numFmts>
  <fonts count="21">
    <font>
      <sz val="8.0"/>
      <color rgb="FF000000"/>
      <name val="Arial"/>
      <scheme val="minor"/>
    </font>
    <font>
      <sz val="8.0"/>
      <color theme="1"/>
      <name val="Arial"/>
    </font>
    <font>
      <color theme="1"/>
      <name val="Arial"/>
      <scheme val="minor"/>
    </font>
    <font>
      <b/>
      <sz val="16.0"/>
      <color theme="1"/>
      <name val="Arial"/>
    </font>
    <font>
      <b/>
      <sz val="12.0"/>
      <color theme="1"/>
      <name val="Arial"/>
    </font>
    <font>
      <b/>
      <sz val="8.0"/>
      <color theme="1"/>
      <name val="Arial"/>
    </font>
    <font>
      <b/>
      <color rgb="FFFFFFFF"/>
      <name val="Arial"/>
      <scheme val="minor"/>
    </font>
    <font>
      <sz val="8.0"/>
      <color rgb="FF008000"/>
      <name val="Arial"/>
    </font>
    <font>
      <sz val="8.0"/>
      <color rgb="FF000000"/>
      <name val="Arial"/>
    </font>
    <font>
      <b/>
      <sz val="12.0"/>
      <color rgb="FF000000"/>
      <name val="Arial"/>
    </font>
    <font>
      <b/>
      <sz val="8.0"/>
      <color rgb="FF000000"/>
      <name val="Arial"/>
    </font>
    <font/>
    <font>
      <b/>
      <sz val="8.0"/>
      <color rgb="FF008000"/>
      <name val="Arial"/>
    </font>
    <font>
      <b/>
      <i/>
      <sz val="8.0"/>
      <color rgb="FFFF0000"/>
      <name val="Arial"/>
    </font>
    <font>
      <b/>
      <sz val="8.0"/>
      <color rgb="FFFF0000"/>
      <name val="Arial"/>
    </font>
    <font>
      <color theme="1"/>
      <name val="Arial"/>
    </font>
    <font>
      <b/>
      <sz val="13.0"/>
      <color rgb="FF000000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color rgb="FF000000"/>
      <name val="Arial"/>
      <scheme val="minor"/>
    </font>
    <font>
      <b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CCC0DA"/>
        <bgColor rgb="FFCCC0DA"/>
      </patternFill>
    </fill>
    <fill>
      <patternFill patternType="solid">
        <fgColor rgb="FFD8E4BC"/>
        <bgColor rgb="FFD8E4BC"/>
      </patternFill>
    </fill>
    <fill>
      <patternFill patternType="solid">
        <fgColor rgb="FFB7DEE8"/>
        <bgColor rgb="FFB7DEE8"/>
      </patternFill>
    </fill>
    <fill>
      <patternFill patternType="solid">
        <fgColor rgb="FFFABF8F"/>
        <bgColor rgb="FFFABF8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FFFFCC"/>
        <bgColor rgb="FFFFFFCC"/>
      </patternFill>
    </fill>
  </fills>
  <borders count="3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993300"/>
      </left>
      <right style="thin">
        <color rgb="FF993300"/>
      </right>
      <top style="thin">
        <color rgb="FF993300"/>
      </top>
      <bottom style="thin">
        <color rgb="FF993300"/>
      </bottom>
    </border>
    <border>
      <top style="thin">
        <color rgb="FF993300"/>
      </top>
      <bottom style="thin">
        <color rgb="FF993300"/>
      </bottom>
    </border>
    <border>
      <right style="thin">
        <color rgb="FF993300"/>
      </right>
      <top style="thin">
        <color rgb="FF993300"/>
      </top>
      <bottom style="thin">
        <color rgb="FF993300"/>
      </bottom>
    </border>
    <border>
      <bottom style="thin">
        <color rgb="FF993300"/>
      </bottom>
    </border>
    <border>
      <right style="thin">
        <color rgb="FF993300"/>
      </right>
      <bottom style="thin">
        <color rgb="FF9933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993300"/>
      </left>
      <right style="thin">
        <color rgb="FF993300"/>
      </right>
    </border>
    <border>
      <right style="thin">
        <color rgb="FF993300"/>
      </right>
    </border>
    <border>
      <left style="thin">
        <color rgb="FF993300"/>
      </left>
      <right style="thin">
        <color rgb="FF993300"/>
      </right>
      <bottom style="thin">
        <color rgb="FF9933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993300"/>
      </left>
      <bottom style="thin">
        <color rgb="FF993300"/>
      </bottom>
    </border>
    <border>
      <left style="thin">
        <color rgb="FF993300"/>
      </left>
      <top style="thin">
        <color rgb="FF993300"/>
      </top>
      <bottom style="thin">
        <color rgb="FF9933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406">
    <xf borderId="0" fillId="0" fontId="0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horizontal="right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0" fillId="0" fontId="1" numFmtId="10" xfId="0" applyAlignment="1" applyFont="1" applyNumberFormat="1">
      <alignment horizontal="right" shrinkToFit="0" vertical="bottom" wrapText="0"/>
    </xf>
    <xf borderId="1" fillId="2" fontId="2" numFmtId="0" xfId="0" applyAlignment="1" applyBorder="1" applyFill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3" numFmtId="4" xfId="0" applyAlignment="1" applyFont="1" applyNumberFormat="1">
      <alignment horizontal="right" shrinkToFit="0" vertical="bottom" wrapText="0"/>
    </xf>
    <xf borderId="0" fillId="0" fontId="3" numFmtId="10" xfId="0" applyAlignment="1" applyFont="1" applyNumberFormat="1">
      <alignment horizontal="right" shrinkToFit="0" vertical="bottom" wrapText="0"/>
    </xf>
    <xf borderId="1" fillId="3" fontId="1" numFmtId="0" xfId="0" applyAlignment="1" applyBorder="1" applyFill="1" applyFont="1">
      <alignment horizontal="left"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4" xfId="0" applyAlignment="1" applyFont="1" applyNumberFormat="1">
      <alignment horizontal="right" shrinkToFit="0" vertical="bottom" wrapText="0"/>
    </xf>
    <xf borderId="0" fillId="0" fontId="4" numFmtId="10" xfId="0" applyAlignment="1" applyFont="1" applyNumberFormat="1">
      <alignment horizontal="right" shrinkToFit="0" vertical="bottom" wrapText="0"/>
    </xf>
    <xf borderId="1" fillId="3" fontId="2" numFmtId="0" xfId="0" applyAlignment="1" applyBorder="1" applyFill="1" applyFont="1">
      <alignment readingOrder="0"/>
    </xf>
    <xf borderId="1" fillId="0" fontId="5" numFmtId="0" xfId="0" applyAlignment="1" applyBorder="1" applyFont="1">
      <alignment horizontal="left" shrinkToFit="0" vertical="bottom" wrapText="0"/>
    </xf>
    <xf borderId="2" fillId="0" fontId="6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1" fillId="0" fontId="2" numFmtId="0" xfId="0" applyBorder="1" applyFont="1"/>
    <xf borderId="1" fillId="0" fontId="5" numFmtId="0" xfId="0" applyAlignment="1" applyBorder="1" applyFont="1">
      <alignment horizontal="right" shrinkToFit="0" vertical="bottom" wrapText="0"/>
    </xf>
    <xf borderId="1" fillId="0" fontId="5" numFmtId="10" xfId="0" applyAlignment="1" applyBorder="1" applyFont="1" applyNumberFormat="1">
      <alignment horizontal="right" shrinkToFit="0" vertical="bottom" wrapText="0"/>
    </xf>
    <xf borderId="4" fillId="0" fontId="6" numFmtId="0" xfId="0" applyAlignment="1" applyBorder="1" applyFont="1">
      <alignment horizontal="center" readingOrder="0"/>
    </xf>
    <xf borderId="1" fillId="3" fontId="2" numFmtId="0" xfId="0" applyBorder="1" applyFill="1" applyFont="1"/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7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4" xfId="0" applyBorder="1" applyFont="1" applyNumberFormat="1"/>
    <xf borderId="1" fillId="0" fontId="1" numFmtId="0" xfId="0" applyAlignment="1" applyBorder="1" applyFont="1">
      <alignment horizontal="left" shrinkToFit="0" vertical="bottom" wrapText="0"/>
    </xf>
    <xf borderId="1" fillId="0" fontId="1" numFmtId="164" xfId="0" applyAlignment="1" applyBorder="1" applyFont="1" applyNumberFormat="1">
      <alignment horizontal="right" shrinkToFit="0" vertical="bottom" wrapText="0"/>
    </xf>
    <xf borderId="1" fillId="0" fontId="1" numFmtId="165" xfId="0" applyAlignment="1" applyBorder="1" applyFont="1" applyNumberFormat="1">
      <alignment horizontal="right" shrinkToFit="0" vertical="bottom" wrapText="0"/>
    </xf>
    <xf borderId="1" fillId="0" fontId="1" numFmtId="166" xfId="0" applyAlignment="1" applyBorder="1" applyFont="1" applyNumberFormat="1">
      <alignment horizontal="right" shrinkToFit="0" vertical="bottom" wrapText="0"/>
    </xf>
    <xf borderId="1" fillId="0" fontId="1" numFmtId="167" xfId="0" applyAlignment="1" applyBorder="1" applyFont="1" applyNumberFormat="1">
      <alignment horizontal="right" shrinkToFit="0" vertical="bottom" wrapText="0"/>
    </xf>
    <xf borderId="1" fillId="3" fontId="2" numFmtId="4" xfId="0" applyBorder="1" applyFill="1" applyFont="1" applyNumberFormat="1"/>
    <xf borderId="1" fillId="0" fontId="1" numFmtId="168" xfId="0" applyAlignment="1" applyBorder="1" applyFont="1" applyNumberFormat="1">
      <alignment horizontal="right" shrinkToFit="0" vertical="bottom" wrapText="0"/>
    </xf>
    <xf borderId="1" fillId="0" fontId="1" numFmtId="169" xfId="0" applyAlignment="1" applyBorder="1" applyFont="1" applyNumberFormat="1">
      <alignment horizontal="right" shrinkToFit="0" vertical="bottom" wrapText="0"/>
    </xf>
    <xf borderId="1" fillId="0" fontId="1" numFmtId="170" xfId="0" applyAlignment="1" applyBorder="1" applyFont="1" applyNumberFormat="1">
      <alignment horizontal="right" shrinkToFit="0" vertical="bottom" wrapText="0"/>
    </xf>
    <xf borderId="1" fillId="0" fontId="1" numFmtId="171" xfId="0" applyAlignment="1" applyBorder="1" applyFont="1" applyNumberFormat="1">
      <alignment horizontal="right" shrinkToFit="0" vertical="bottom" wrapText="0"/>
    </xf>
    <xf borderId="1" fillId="0" fontId="1" numFmtId="172" xfId="0" applyAlignment="1" applyBorder="1" applyFont="1" applyNumberFormat="1">
      <alignment horizontal="right" shrinkToFit="0" vertical="bottom" wrapText="0"/>
    </xf>
    <xf borderId="1" fillId="0" fontId="1" numFmtId="173" xfId="0" applyAlignment="1" applyBorder="1" applyFont="1" applyNumberFormat="1">
      <alignment horizontal="right" shrinkToFit="0" vertical="bottom" wrapText="0"/>
    </xf>
    <xf borderId="1" fillId="0" fontId="1" numFmtId="174" xfId="0" applyAlignment="1" applyBorder="1" applyFont="1" applyNumberFormat="1">
      <alignment horizontal="right" shrinkToFit="0" vertical="bottom" wrapText="0"/>
    </xf>
    <xf borderId="1" fillId="0" fontId="1" numFmtId="175" xfId="0" applyAlignment="1" applyBorder="1" applyFont="1" applyNumberFormat="1">
      <alignment horizontal="right" shrinkToFit="0" vertical="bottom" wrapText="0"/>
    </xf>
    <xf borderId="1" fillId="0" fontId="1" numFmtId="4" xfId="0" applyAlignment="1" applyBorder="1" applyFont="1" applyNumberFormat="1">
      <alignment horizontal="right" shrinkToFit="0" vertical="bottom" wrapText="0"/>
    </xf>
    <xf borderId="1" fillId="0" fontId="7" numFmtId="10" xfId="0" applyAlignment="1" applyBorder="1" applyFont="1" applyNumberFormat="1">
      <alignment horizontal="right" shrinkToFit="0" vertical="bottom" wrapText="0"/>
    </xf>
    <xf borderId="0" fillId="0" fontId="2" numFmtId="4" xfId="0" applyFont="1" applyNumberFormat="1"/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1" fillId="0" fontId="1" numFmtId="176" xfId="0" applyAlignment="1" applyBorder="1" applyFont="1" applyNumberFormat="1">
      <alignment horizontal="right" shrinkToFit="0" vertical="bottom" wrapText="0"/>
    </xf>
    <xf borderId="1" fillId="0" fontId="1" numFmtId="177" xfId="0" applyAlignment="1" applyBorder="1" applyFont="1" applyNumberFormat="1">
      <alignment horizontal="right" shrinkToFit="0" vertical="bottom" wrapText="0"/>
    </xf>
    <xf borderId="1" fillId="0" fontId="1" numFmtId="178" xfId="0" applyAlignment="1" applyBorder="1" applyFont="1" applyNumberFormat="1">
      <alignment horizontal="right" shrinkToFit="0" vertical="bottom" wrapText="0"/>
    </xf>
    <xf borderId="1" fillId="0" fontId="1" numFmtId="179" xfId="0" applyAlignment="1" applyBorder="1" applyFont="1" applyNumberFormat="1">
      <alignment horizontal="right" shrinkToFit="0" vertical="bottom" wrapText="0"/>
    </xf>
    <xf borderId="1" fillId="0" fontId="1" numFmtId="180" xfId="0" applyAlignment="1" applyBorder="1" applyFont="1" applyNumberFormat="1">
      <alignment horizontal="right" shrinkToFit="0" vertical="bottom" wrapText="0"/>
    </xf>
    <xf borderId="1" fillId="0" fontId="1" numFmtId="181" xfId="0" applyAlignment="1" applyBorder="1" applyFont="1" applyNumberFormat="1">
      <alignment horizontal="right" shrinkToFit="0" vertical="bottom" wrapText="0"/>
    </xf>
    <xf borderId="1" fillId="0" fontId="1" numFmtId="182" xfId="0" applyAlignment="1" applyBorder="1" applyFont="1" applyNumberFormat="1">
      <alignment horizontal="right" shrinkToFit="0" vertical="bottom" wrapText="0"/>
    </xf>
    <xf borderId="0" fillId="0" fontId="9" numFmtId="0" xfId="0" applyAlignment="1" applyFont="1">
      <alignment horizontal="right" shrinkToFit="0" vertical="bottom" wrapText="0"/>
    </xf>
    <xf borderId="1" fillId="0" fontId="1" numFmtId="4" xfId="0" applyAlignment="1" applyBorder="1" applyFont="1" applyNumberFormat="1">
      <alignment horizontal="right" readingOrder="0" shrinkToFit="0" vertical="bottom" wrapText="0"/>
    </xf>
    <xf borderId="1" fillId="0" fontId="10" numFmtId="0" xfId="0" applyAlignment="1" applyBorder="1" applyFont="1">
      <alignment horizontal="left" shrinkToFit="0" vertical="bottom" wrapText="0"/>
    </xf>
    <xf borderId="8" fillId="0" fontId="10" numFmtId="0" xfId="0" applyAlignment="1" applyBorder="1" applyFont="1">
      <alignment horizontal="left" shrinkToFit="0" vertical="bottom" wrapText="0"/>
    </xf>
    <xf borderId="9" fillId="0" fontId="10" numFmtId="0" xfId="0" applyAlignment="1" applyBorder="1" applyFont="1">
      <alignment horizontal="left" shrinkToFit="0" vertical="bottom" wrapText="0"/>
    </xf>
    <xf borderId="1" fillId="0" fontId="1" numFmtId="183" xfId="0" applyAlignment="1" applyBorder="1" applyFont="1" applyNumberFormat="1">
      <alignment horizontal="right" shrinkToFit="0" vertical="bottom" wrapText="0"/>
    </xf>
    <xf borderId="1" fillId="0" fontId="1" numFmtId="184" xfId="0" applyAlignment="1" applyBorder="1" applyFont="1" applyNumberFormat="1">
      <alignment horizontal="right" shrinkToFit="0" vertical="bottom" wrapText="0"/>
    </xf>
    <xf borderId="1" fillId="0" fontId="1" numFmtId="185" xfId="0" applyAlignment="1" applyBorder="1" applyFont="1" applyNumberFormat="1">
      <alignment horizontal="right" shrinkToFit="0" vertical="bottom" wrapText="0"/>
    </xf>
    <xf borderId="9" fillId="0" fontId="10" numFmtId="0" xfId="0" applyAlignment="1" applyBorder="1" applyFont="1">
      <alignment horizontal="center" readingOrder="0" shrinkToFit="0" vertical="bottom" wrapText="0"/>
    </xf>
    <xf borderId="1" fillId="0" fontId="1" numFmtId="186" xfId="0" applyAlignment="1" applyBorder="1" applyFont="1" applyNumberFormat="1">
      <alignment horizontal="right" shrinkToFit="0" vertical="bottom" wrapText="0"/>
    </xf>
    <xf borderId="8" fillId="0" fontId="11" numFmtId="0" xfId="0" applyBorder="1" applyFont="1"/>
    <xf borderId="1" fillId="0" fontId="1" numFmtId="187" xfId="0" applyAlignment="1" applyBorder="1" applyFont="1" applyNumberFormat="1">
      <alignment horizontal="right" shrinkToFit="0" vertical="bottom" wrapText="0"/>
    </xf>
    <xf borderId="10" fillId="0" fontId="11" numFmtId="0" xfId="0" applyBorder="1" applyFont="1"/>
    <xf borderId="1" fillId="0" fontId="1" numFmtId="188" xfId="0" applyAlignment="1" applyBorder="1" applyFont="1" applyNumberFormat="1">
      <alignment horizontal="right" shrinkToFit="0" vertical="bottom" wrapText="0"/>
    </xf>
    <xf borderId="8" fillId="0" fontId="1" numFmtId="0" xfId="0" applyAlignment="1" applyBorder="1" applyFont="1">
      <alignment shrinkToFit="0" vertical="bottom" wrapText="0"/>
    </xf>
    <xf borderId="1" fillId="0" fontId="1" numFmtId="189" xfId="0" applyAlignment="1" applyBorder="1" applyFont="1" applyNumberFormat="1">
      <alignment horizontal="right" shrinkToFit="0" vertical="bottom" wrapText="0"/>
    </xf>
    <xf borderId="1" fillId="0" fontId="1" numFmtId="190" xfId="0" applyAlignment="1" applyBorder="1" applyFont="1" applyNumberFormat="1">
      <alignment horizontal="right" shrinkToFit="0" vertical="bottom" wrapText="0"/>
    </xf>
    <xf borderId="1" fillId="0" fontId="1" numFmtId="191" xfId="0" applyAlignment="1" applyBorder="1" applyFont="1" applyNumberFormat="1">
      <alignment horizontal="right" shrinkToFit="0" vertical="bottom" wrapText="0"/>
    </xf>
    <xf borderId="11" fillId="0" fontId="2" numFmtId="4" xfId="0" applyBorder="1" applyFont="1" applyNumberFormat="1"/>
    <xf borderId="1" fillId="0" fontId="1" numFmtId="192" xfId="0" applyAlignment="1" applyBorder="1" applyFont="1" applyNumberFormat="1">
      <alignment horizontal="right" shrinkToFit="0" vertical="bottom" wrapText="0"/>
    </xf>
    <xf borderId="9" fillId="0" fontId="10" numFmtId="0" xfId="0" applyAlignment="1" applyBorder="1" applyFont="1">
      <alignment horizontal="left" readingOrder="0" shrinkToFit="0" vertical="bottom" wrapText="0"/>
    </xf>
    <xf borderId="11" fillId="3" fontId="2" numFmtId="4" xfId="0" applyBorder="1" applyFill="1" applyFont="1" applyNumberFormat="1"/>
    <xf borderId="1" fillId="0" fontId="1" numFmtId="193" xfId="0" applyAlignment="1" applyBorder="1" applyFont="1" applyNumberFormat="1">
      <alignment horizontal="right" shrinkToFit="0" vertical="bottom" wrapText="0"/>
    </xf>
    <xf borderId="1" fillId="0" fontId="10" numFmtId="0" xfId="0" applyAlignment="1" applyBorder="1" applyFont="1">
      <alignment horizontal="left" readingOrder="0" shrinkToFit="0" vertical="bottom" wrapText="0"/>
    </xf>
    <xf borderId="0" fillId="3" fontId="2" numFmtId="0" xfId="0" applyAlignment="1" applyFill="1" applyFont="1">
      <alignment readingOrder="0"/>
    </xf>
    <xf borderId="12" fillId="0" fontId="2" numFmtId="4" xfId="0" applyBorder="1" applyFont="1" applyNumberFormat="1"/>
    <xf borderId="12" fillId="3" fontId="2" numFmtId="4" xfId="0" applyBorder="1" applyFill="1" applyFont="1" applyNumberFormat="1"/>
    <xf borderId="1" fillId="4" fontId="1" numFmtId="0" xfId="0" applyAlignment="1" applyBorder="1" applyFill="1" applyFont="1">
      <alignment horizontal="left" readingOrder="0" shrinkToFit="0" vertical="bottom" wrapText="0"/>
    </xf>
    <xf borderId="1" fillId="4" fontId="2" numFmtId="0" xfId="0" applyAlignment="1" applyBorder="1" applyFill="1" applyFont="1">
      <alignment readingOrder="0"/>
    </xf>
    <xf borderId="8" fillId="0" fontId="10" numFmtId="0" xfId="0" applyAlignment="1" applyBorder="1" applyFont="1">
      <alignment horizontal="left" readingOrder="0" shrinkToFit="0" vertical="bottom" wrapText="0"/>
    </xf>
    <xf borderId="1" fillId="0" fontId="5" numFmtId="194" xfId="0" applyAlignment="1" applyBorder="1" applyFont="1" applyNumberFormat="1">
      <alignment horizontal="right" shrinkToFit="0" vertical="bottom" wrapText="0"/>
    </xf>
    <xf borderId="1" fillId="4" fontId="2" numFmtId="0" xfId="0" applyBorder="1" applyFill="1" applyFont="1"/>
    <xf borderId="1" fillId="0" fontId="5" numFmtId="195" xfId="0" applyAlignment="1" applyBorder="1" applyFont="1" applyNumberFormat="1">
      <alignment horizontal="right" shrinkToFit="0" vertical="bottom" wrapText="0"/>
    </xf>
    <xf borderId="1" fillId="0" fontId="5" numFmtId="196" xfId="0" applyAlignment="1" applyBorder="1" applyFont="1" applyNumberFormat="1">
      <alignment horizontal="right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1" fillId="0" fontId="5" numFmtId="197" xfId="0" applyAlignment="1" applyBorder="1" applyFont="1" applyNumberFormat="1">
      <alignment horizontal="right" shrinkToFit="0" vertical="bottom" wrapText="0"/>
    </xf>
    <xf borderId="1" fillId="0" fontId="10" numFmtId="0" xfId="0" applyAlignment="1" applyBorder="1" applyFont="1">
      <alignment horizontal="right" readingOrder="0" shrinkToFit="0" vertical="bottom" wrapText="0"/>
    </xf>
    <xf borderId="1" fillId="0" fontId="5" numFmtId="198" xfId="0" applyAlignment="1" applyBorder="1" applyFont="1" applyNumberFormat="1">
      <alignment horizontal="right" shrinkToFit="0" vertical="bottom" wrapText="0"/>
    </xf>
    <xf borderId="1" fillId="0" fontId="8" numFmtId="0" xfId="0" applyAlignment="1" applyBorder="1" applyFont="1">
      <alignment readingOrder="0" shrinkToFit="0" vertical="bottom" wrapText="0"/>
    </xf>
    <xf borderId="1" fillId="0" fontId="5" numFmtId="199" xfId="0" applyAlignment="1" applyBorder="1" applyFont="1" applyNumberFormat="1">
      <alignment horizontal="right" shrinkToFit="0" vertical="bottom" wrapText="0"/>
    </xf>
    <xf borderId="1" fillId="2" fontId="2" numFmtId="0" xfId="0" applyBorder="1" applyFill="1" applyFont="1"/>
    <xf borderId="1" fillId="0" fontId="5" numFmtId="200" xfId="0" applyAlignment="1" applyBorder="1" applyFont="1" applyNumberFormat="1">
      <alignment horizontal="right" shrinkToFit="0" vertical="bottom" wrapText="0"/>
    </xf>
    <xf borderId="1" fillId="0" fontId="5" numFmtId="201" xfId="0" applyAlignment="1" applyBorder="1" applyFont="1" applyNumberFormat="1">
      <alignment horizontal="right" shrinkToFit="0" vertical="bottom" wrapText="0"/>
    </xf>
    <xf borderId="1" fillId="0" fontId="8" numFmtId="0" xfId="0" applyAlignment="1" applyBorder="1" applyFont="1">
      <alignment horizontal="left" shrinkToFit="0" vertical="bottom" wrapText="0"/>
    </xf>
    <xf borderId="1" fillId="0" fontId="5" numFmtId="202" xfId="0" applyAlignment="1" applyBorder="1" applyFont="1" applyNumberFormat="1">
      <alignment horizontal="right" shrinkToFit="0" vertical="bottom" wrapText="0"/>
    </xf>
    <xf borderId="1" fillId="0" fontId="5" numFmtId="203" xfId="0" applyAlignment="1" applyBorder="1" applyFont="1" applyNumberFormat="1">
      <alignment horizontal="right" shrinkToFit="0" vertical="bottom" wrapText="0"/>
    </xf>
    <xf borderId="1" fillId="0" fontId="8" numFmtId="0" xfId="0" applyAlignment="1" applyBorder="1" applyFont="1">
      <alignment horizontal="left" readingOrder="0" shrinkToFit="0" vertical="bottom" wrapText="0"/>
    </xf>
    <xf borderId="1" fillId="0" fontId="5" numFmtId="204" xfId="0" applyAlignment="1" applyBorder="1" applyFont="1" applyNumberFormat="1">
      <alignment horizontal="right" shrinkToFit="0" vertical="bottom" wrapText="0"/>
    </xf>
    <xf borderId="0" fillId="0" fontId="8" numFmtId="0" xfId="0" applyAlignment="1" applyFont="1">
      <alignment readingOrder="0" shrinkToFit="0" vertical="bottom" wrapText="0"/>
    </xf>
    <xf borderId="1" fillId="0" fontId="5" numFmtId="205" xfId="0" applyAlignment="1" applyBorder="1" applyFont="1" applyNumberFormat="1">
      <alignment horizontal="right" shrinkToFit="0" vertical="bottom" wrapText="0"/>
    </xf>
    <xf borderId="1" fillId="0" fontId="5" numFmtId="4" xfId="0" applyAlignment="1" applyBorder="1" applyFont="1" applyNumberFormat="1">
      <alignment horizontal="right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12" numFmtId="10" xfId="0" applyAlignment="1" applyBorder="1" applyFont="1" applyNumberFormat="1">
      <alignment horizontal="right" shrinkToFit="0" vertical="bottom" wrapText="0"/>
    </xf>
    <xf borderId="9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" fillId="0" fontId="13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right" shrinkToFit="0" vertical="bottom" wrapText="0"/>
    </xf>
    <xf borderId="1" fillId="0" fontId="8" numFmtId="0" xfId="0" applyAlignment="1" applyBorder="1" applyFont="1">
      <alignment shrinkToFit="0" vertical="bottom" wrapText="0"/>
    </xf>
    <xf borderId="15" fillId="0" fontId="2" numFmtId="0" xfId="0" applyBorder="1" applyFont="1"/>
    <xf borderId="16" fillId="0" fontId="2" numFmtId="0" xfId="0" applyBorder="1" applyFont="1"/>
    <xf borderId="17" fillId="0" fontId="10" numFmtId="0" xfId="0" applyAlignment="1" applyBorder="1" applyFont="1">
      <alignment horizontal="right" readingOrder="0" shrinkToFit="0" vertical="bottom" wrapText="0"/>
    </xf>
    <xf borderId="17" fillId="0" fontId="10" numFmtId="0" xfId="0" applyAlignment="1" applyBorder="1" applyFont="1">
      <alignment horizontal="right" shrinkToFit="0" vertical="bottom" wrapText="0"/>
    </xf>
    <xf borderId="1" fillId="0" fontId="1" numFmtId="206" xfId="0" applyAlignment="1" applyBorder="1" applyFont="1" applyNumberFormat="1">
      <alignment horizontal="right" shrinkToFit="0" vertical="bottom" wrapText="0"/>
    </xf>
    <xf borderId="1" fillId="0" fontId="1" numFmtId="207" xfId="0" applyAlignment="1" applyBorder="1" applyFont="1" applyNumberFormat="1">
      <alignment horizontal="right" shrinkToFit="0" vertical="bottom" wrapText="0"/>
    </xf>
    <xf borderId="15" fillId="0" fontId="2" numFmtId="4" xfId="0" applyBorder="1" applyFont="1" applyNumberFormat="1"/>
    <xf borderId="1" fillId="0" fontId="8" numFmtId="0" xfId="0" applyAlignment="1" applyBorder="1" applyFont="1">
      <alignment horizontal="right" readingOrder="0" shrinkToFit="0" vertical="bottom" wrapText="0"/>
    </xf>
    <xf borderId="1" fillId="0" fontId="1" numFmtId="208" xfId="0" applyAlignment="1" applyBorder="1" applyFont="1" applyNumberFormat="1">
      <alignment horizontal="right" shrinkToFit="0" vertical="bottom" wrapText="0"/>
    </xf>
    <xf borderId="16" fillId="0" fontId="2" numFmtId="4" xfId="0" applyBorder="1" applyFont="1" applyNumberFormat="1"/>
    <xf borderId="0" fillId="0" fontId="8" numFmtId="0" xfId="0" applyAlignment="1" applyFont="1">
      <alignment horizontal="right" readingOrder="0" shrinkToFit="0" vertical="bottom" wrapText="0"/>
    </xf>
    <xf borderId="1" fillId="0" fontId="1" numFmtId="209" xfId="0" applyAlignment="1" applyBorder="1" applyFont="1" applyNumberFormat="1">
      <alignment horizontal="right" shrinkToFit="0" vertical="bottom" wrapText="0"/>
    </xf>
    <xf borderId="1" fillId="0" fontId="1" numFmtId="210" xfId="0" applyAlignment="1" applyBorder="1" applyFont="1" applyNumberFormat="1">
      <alignment horizontal="right" shrinkToFit="0" vertical="bottom" wrapText="0"/>
    </xf>
    <xf borderId="18" fillId="5" fontId="1" numFmtId="0" xfId="0" applyAlignment="1" applyBorder="1" applyFill="1" applyFont="1">
      <alignment readingOrder="0" vertical="top"/>
    </xf>
    <xf borderId="1" fillId="0" fontId="1" numFmtId="211" xfId="0" applyAlignment="1" applyBorder="1" applyFont="1" applyNumberFormat="1">
      <alignment horizontal="right" shrinkToFit="0" vertical="bottom" wrapText="0"/>
    </xf>
    <xf borderId="18" fillId="5" fontId="1" numFmtId="0" xfId="0" applyAlignment="1" applyBorder="1" applyFill="1" applyFont="1">
      <alignment horizontal="right" readingOrder="0" vertical="top"/>
    </xf>
    <xf borderId="1" fillId="0" fontId="1" numFmtId="212" xfId="0" applyAlignment="1" applyBorder="1" applyFont="1" applyNumberFormat="1">
      <alignment horizontal="right" shrinkToFit="0" vertical="bottom" wrapText="0"/>
    </xf>
    <xf borderId="18" fillId="5" fontId="1" numFmtId="0" xfId="0" applyAlignment="1" applyBorder="1" applyFill="1" applyFont="1">
      <alignment horizontal="center" readingOrder="0" vertical="top"/>
    </xf>
    <xf borderId="1" fillId="0" fontId="1" numFmtId="213" xfId="0" applyAlignment="1" applyBorder="1" applyFont="1" applyNumberFormat="1">
      <alignment horizontal="right" shrinkToFit="0" vertical="bottom" wrapText="0"/>
    </xf>
    <xf borderId="1" fillId="0" fontId="1" numFmtId="214" xfId="0" applyAlignment="1" applyBorder="1" applyFont="1" applyNumberFormat="1">
      <alignment horizontal="right" shrinkToFit="0" vertical="bottom" wrapText="0"/>
    </xf>
    <xf borderId="1" fillId="0" fontId="1" numFmtId="215" xfId="0" applyAlignment="1" applyBorder="1" applyFont="1" applyNumberFormat="1">
      <alignment horizontal="right" shrinkToFit="0" vertical="bottom" wrapText="0"/>
    </xf>
    <xf borderId="1" fillId="0" fontId="1" numFmtId="216" xfId="0" applyAlignment="1" applyBorder="1" applyFont="1" applyNumberFormat="1">
      <alignment horizontal="right" shrinkToFit="0" vertical="bottom" wrapText="0"/>
    </xf>
    <xf borderId="19" fillId="6" fontId="1" numFmtId="0" xfId="0" applyAlignment="1" applyBorder="1" applyFill="1" applyFont="1">
      <alignment horizontal="center" readingOrder="0" vertical="top"/>
    </xf>
    <xf borderId="1" fillId="0" fontId="1" numFmtId="217" xfId="0" applyAlignment="1" applyBorder="1" applyFont="1" applyNumberFormat="1">
      <alignment horizontal="right" shrinkToFit="0" vertical="bottom" wrapText="0"/>
    </xf>
    <xf borderId="1" fillId="0" fontId="1" numFmtId="10" xfId="0" applyAlignment="1" applyBorder="1" applyFont="1" applyNumberFormat="1">
      <alignment horizontal="right" shrinkToFit="0" vertical="bottom" wrapText="0"/>
    </xf>
    <xf borderId="1" fillId="7" fontId="8" numFmtId="0" xfId="0" applyAlignment="1" applyBorder="1" applyFill="1" applyFont="1">
      <alignment shrinkToFit="0" vertical="bottom" wrapText="0"/>
    </xf>
    <xf borderId="20" fillId="5" fontId="1" numFmtId="0" xfId="0" applyAlignment="1" applyBorder="1" applyFill="1" applyFont="1">
      <alignment horizontal="right" shrinkToFit="0" vertical="top" wrapText="0"/>
    </xf>
    <xf borderId="1" fillId="0" fontId="1" numFmtId="218" xfId="0" applyAlignment="1" applyBorder="1" applyFont="1" applyNumberFormat="1">
      <alignment horizontal="right" shrinkToFit="0" vertical="bottom" wrapText="0"/>
    </xf>
    <xf borderId="1" fillId="0" fontId="1" numFmtId="219" xfId="0" applyAlignment="1" applyBorder="1" applyFont="1" applyNumberFormat="1">
      <alignment horizontal="right" shrinkToFit="0" vertical="bottom" wrapText="0"/>
    </xf>
    <xf borderId="1" fillId="0" fontId="1" numFmtId="220" xfId="0" applyAlignment="1" applyBorder="1" applyFont="1" applyNumberFormat="1">
      <alignment horizontal="right" shrinkToFit="0" vertical="bottom" wrapText="0"/>
    </xf>
    <xf borderId="1" fillId="0" fontId="13" numFmtId="0" xfId="0" applyAlignment="1" applyBorder="1" applyFont="1">
      <alignment horizontal="center" shrinkToFit="0" vertical="bottom" wrapText="0"/>
    </xf>
    <xf borderId="1" fillId="0" fontId="1" numFmtId="221" xfId="0" applyAlignment="1" applyBorder="1" applyFont="1" applyNumberFormat="1">
      <alignment horizontal="right" shrinkToFit="0" vertical="bottom" wrapText="0"/>
    </xf>
    <xf borderId="1" fillId="0" fontId="1" numFmtId="222" xfId="0" applyAlignment="1" applyBorder="1" applyFont="1" applyNumberFormat="1">
      <alignment horizontal="right" shrinkToFit="0" vertical="bottom" wrapText="0"/>
    </xf>
    <xf borderId="21" fillId="6" fontId="1" numFmtId="0" xfId="0" applyAlignment="1" applyBorder="1" applyFill="1" applyFont="1">
      <alignment horizontal="center" readingOrder="0" vertical="top"/>
    </xf>
    <xf borderId="22" fillId="5" fontId="1" numFmtId="0" xfId="0" applyAlignment="1" applyBorder="1" applyFill="1" applyFont="1">
      <alignment horizontal="right" shrinkToFit="0" vertical="top" wrapText="0"/>
    </xf>
    <xf borderId="1" fillId="0" fontId="5" numFmtId="223" xfId="0" applyAlignment="1" applyBorder="1" applyFont="1" applyNumberFormat="1">
      <alignment horizontal="right" shrinkToFit="0" vertical="bottom" wrapText="0"/>
    </xf>
    <xf borderId="1" fillId="0" fontId="5" numFmtId="224" xfId="0" applyAlignment="1" applyBorder="1" applyFont="1" applyNumberFormat="1">
      <alignment horizontal="right" shrinkToFit="0" vertical="bottom" wrapText="0"/>
    </xf>
    <xf borderId="1" fillId="0" fontId="5" numFmtId="225" xfId="0" applyAlignment="1" applyBorder="1" applyFont="1" applyNumberFormat="1">
      <alignment horizontal="right" shrinkToFit="0" vertical="bottom" wrapText="0"/>
    </xf>
    <xf borderId="18" fillId="5" fontId="1" numFmtId="226" xfId="0" applyAlignment="1" applyBorder="1" applyFill="1" applyFont="1" applyNumberFormat="1">
      <alignment readingOrder="0" vertical="top"/>
    </xf>
    <xf borderId="1" fillId="0" fontId="5" numFmtId="227" xfId="0" applyAlignment="1" applyBorder="1" applyFont="1" applyNumberFormat="1">
      <alignment horizontal="right" shrinkToFit="0" vertical="bottom" wrapText="0"/>
    </xf>
    <xf borderId="1" fillId="0" fontId="5" numFmtId="210" xfId="0" applyAlignment="1" applyBorder="1" applyFont="1" applyNumberFormat="1">
      <alignment horizontal="right" shrinkToFit="0" vertical="bottom" wrapText="0"/>
    </xf>
    <xf borderId="1" fillId="0" fontId="5" numFmtId="211" xfId="0" applyAlignment="1" applyBorder="1" applyFont="1" applyNumberFormat="1">
      <alignment horizontal="right" shrinkToFit="0" vertical="bottom" wrapText="0"/>
    </xf>
    <xf borderId="1" fillId="0" fontId="5" numFmtId="228" xfId="0" applyAlignment="1" applyBorder="1" applyFont="1" applyNumberFormat="1">
      <alignment horizontal="right" shrinkToFit="0" vertical="bottom" wrapText="0"/>
    </xf>
    <xf borderId="1" fillId="0" fontId="5" numFmtId="229" xfId="0" applyAlignment="1" applyBorder="1" applyFont="1" applyNumberFormat="1">
      <alignment horizontal="right" shrinkToFit="0" vertical="bottom" wrapText="0"/>
    </xf>
    <xf borderId="1" fillId="0" fontId="5" numFmtId="230" xfId="0" applyAlignment="1" applyBorder="1" applyFont="1" applyNumberFormat="1">
      <alignment horizontal="right" shrinkToFit="0" vertical="bottom" wrapText="0"/>
    </xf>
    <xf borderId="1" fillId="0" fontId="5" numFmtId="231" xfId="0" applyAlignment="1" applyBorder="1" applyFont="1" applyNumberFormat="1">
      <alignment horizontal="right" shrinkToFit="0" vertical="bottom" wrapText="0"/>
    </xf>
    <xf borderId="1" fillId="0" fontId="5" numFmtId="232" xfId="0" applyAlignment="1" applyBorder="1" applyFont="1" applyNumberFormat="1">
      <alignment horizontal="right" shrinkToFit="0" vertical="bottom" wrapText="0"/>
    </xf>
    <xf borderId="18" fillId="5" fontId="1" numFmtId="233" xfId="0" applyAlignment="1" applyBorder="1" applyFill="1" applyFont="1" applyNumberFormat="1">
      <alignment readingOrder="0" vertical="top"/>
    </xf>
    <xf borderId="1" fillId="0" fontId="5" numFmtId="234" xfId="0" applyAlignment="1" applyBorder="1" applyFont="1" applyNumberFormat="1">
      <alignment horizontal="right" shrinkToFit="0" vertical="bottom" wrapText="0"/>
    </xf>
    <xf borderId="1" fillId="0" fontId="5" numFmtId="235" xfId="0" applyAlignment="1" applyBorder="1" applyFont="1" applyNumberFormat="1">
      <alignment horizontal="right" shrinkToFit="0" vertical="bottom" wrapText="0"/>
    </xf>
    <xf borderId="1" fillId="0" fontId="5" numFmtId="236" xfId="0" applyAlignment="1" applyBorder="1" applyFont="1" applyNumberFormat="1">
      <alignment horizontal="right" shrinkToFit="0" vertical="bottom" wrapText="0"/>
    </xf>
    <xf borderId="1" fillId="0" fontId="5" numFmtId="237" xfId="0" applyAlignment="1" applyBorder="1" applyFont="1" applyNumberFormat="1">
      <alignment horizontal="right" shrinkToFit="0" vertical="bottom" wrapText="0"/>
    </xf>
    <xf borderId="1" fillId="0" fontId="5" numFmtId="238" xfId="0" applyAlignment="1" applyBorder="1" applyFont="1" applyNumberFormat="1">
      <alignment horizontal="right" shrinkToFit="0" vertical="bottom" wrapText="0"/>
    </xf>
    <xf borderId="1" fillId="0" fontId="5" numFmtId="239" xfId="0" applyAlignment="1" applyBorder="1" applyFont="1" applyNumberFormat="1">
      <alignment horizontal="right" shrinkToFit="0" vertical="bottom" wrapText="0"/>
    </xf>
    <xf borderId="1" fillId="0" fontId="5" numFmtId="240" xfId="0" applyAlignment="1" applyBorder="1" applyFont="1" applyNumberFormat="1">
      <alignment horizontal="right" shrinkToFit="0" vertical="bottom" wrapText="0"/>
    </xf>
    <xf borderId="1" fillId="0" fontId="5" numFmtId="241" xfId="0" applyAlignment="1" applyBorder="1" applyFont="1" applyNumberFormat="1">
      <alignment horizontal="right" shrinkToFit="0" vertical="bottom" wrapText="0"/>
    </xf>
    <xf borderId="1" fillId="0" fontId="5" numFmtId="242" xfId="0" applyAlignment="1" applyBorder="1" applyFont="1" applyNumberFormat="1">
      <alignment horizontal="right" shrinkToFit="0" vertical="bottom" wrapText="0"/>
    </xf>
    <xf borderId="1" fillId="0" fontId="5" numFmtId="243" xfId="0" applyAlignment="1" applyBorder="1" applyFont="1" applyNumberFormat="1">
      <alignment horizontal="right" shrinkToFit="0" vertical="bottom" wrapText="0"/>
    </xf>
    <xf borderId="1" fillId="0" fontId="5" numFmtId="244" xfId="0" applyAlignment="1" applyBorder="1" applyFont="1" applyNumberFormat="1">
      <alignment horizontal="right" shrinkToFit="0" vertical="bottom" wrapText="0"/>
    </xf>
    <xf borderId="1" fillId="0" fontId="5" numFmtId="245" xfId="0" applyAlignment="1" applyBorder="1" applyFont="1" applyNumberFormat="1">
      <alignment horizontal="right" shrinkToFit="0" vertical="bottom" wrapText="0"/>
    </xf>
    <xf borderId="1" fillId="0" fontId="5" numFmtId="246" xfId="0" applyAlignment="1" applyBorder="1" applyFont="1" applyNumberFormat="1">
      <alignment horizontal="right" shrinkToFit="0" vertical="bottom" wrapText="0"/>
    </xf>
    <xf borderId="1" fillId="0" fontId="5" numFmtId="247" xfId="0" applyAlignment="1" applyBorder="1" applyFont="1" applyNumberFormat="1">
      <alignment horizontal="right" shrinkToFit="0" vertical="bottom" wrapText="0"/>
    </xf>
    <xf borderId="18" fillId="5" fontId="1" numFmtId="0" xfId="0" applyAlignment="1" applyBorder="1" applyFill="1" applyFont="1">
      <alignment vertical="top"/>
    </xf>
    <xf borderId="1" fillId="0" fontId="5" numFmtId="248" xfId="0" applyAlignment="1" applyBorder="1" applyFont="1" applyNumberFormat="1">
      <alignment horizontal="right" shrinkToFit="0" vertical="bottom" wrapText="0"/>
    </xf>
    <xf borderId="1" fillId="0" fontId="5" numFmtId="249" xfId="0" applyAlignment="1" applyBorder="1" applyFont="1" applyNumberFormat="1">
      <alignment horizontal="right" shrinkToFit="0" vertical="bottom" wrapText="0"/>
    </xf>
    <xf borderId="1" fillId="0" fontId="5" numFmtId="250" xfId="0" applyAlignment="1" applyBorder="1" applyFont="1" applyNumberFormat="1">
      <alignment horizontal="right" shrinkToFit="0" vertical="bottom" wrapText="0"/>
    </xf>
    <xf borderId="1" fillId="0" fontId="5" numFmtId="251" xfId="0" applyAlignment="1" applyBorder="1" applyFont="1" applyNumberFormat="1">
      <alignment horizontal="right" shrinkToFit="0" vertical="bottom" wrapText="0"/>
    </xf>
    <xf borderId="1" fillId="0" fontId="5" numFmtId="252" xfId="0" applyAlignment="1" applyBorder="1" applyFont="1" applyNumberFormat="1">
      <alignment horizontal="right" shrinkToFit="0" vertical="bottom" wrapText="0"/>
    </xf>
    <xf borderId="1" fillId="0" fontId="5" numFmtId="253" xfId="0" applyAlignment="1" applyBorder="1" applyFont="1" applyNumberFormat="1">
      <alignment horizontal="right" shrinkToFit="0" vertical="bottom" wrapText="0"/>
    </xf>
    <xf borderId="18" fillId="5" fontId="1" numFmtId="0" xfId="0" applyAlignment="1" applyBorder="1" applyFill="1" applyFont="1">
      <alignment horizontal="left" readingOrder="0"/>
    </xf>
    <xf borderId="1" fillId="0" fontId="5" numFmtId="254" xfId="0" applyAlignment="1" applyBorder="1" applyFont="1" applyNumberFormat="1">
      <alignment horizontal="right" shrinkToFit="0" vertical="bottom" wrapText="0"/>
    </xf>
    <xf borderId="18" fillId="5" fontId="1" numFmtId="226" xfId="0" applyAlignment="1" applyBorder="1" applyFill="1" applyFont="1" applyNumberFormat="1">
      <alignment horizontal="left" readingOrder="0"/>
    </xf>
    <xf borderId="1" fillId="0" fontId="5" numFmtId="255" xfId="0" applyAlignment="1" applyBorder="1" applyFont="1" applyNumberFormat="1">
      <alignment horizontal="right" shrinkToFit="0" vertical="bottom" wrapText="0"/>
    </xf>
    <xf borderId="18" fillId="6" fontId="1" numFmtId="0" xfId="0" applyAlignment="1" applyBorder="1" applyFill="1" applyFont="1">
      <alignment horizontal="center" readingOrder="0" vertical="top"/>
    </xf>
    <xf borderId="1" fillId="0" fontId="5" numFmtId="256" xfId="0" applyAlignment="1" applyBorder="1" applyFont="1" applyNumberFormat="1">
      <alignment horizontal="right" shrinkToFit="0" vertical="bottom" wrapText="0"/>
    </xf>
    <xf borderId="1" fillId="0" fontId="5" numFmtId="257" xfId="0" applyAlignment="1" applyBorder="1" applyFont="1" applyNumberFormat="1">
      <alignment horizontal="right" shrinkToFit="0" vertical="bottom" wrapText="0"/>
    </xf>
    <xf borderId="1" fillId="0" fontId="5" numFmtId="258" xfId="0" applyAlignment="1" applyBorder="1" applyFont="1" applyNumberFormat="1">
      <alignment horizontal="right" shrinkToFit="0" vertical="bottom" wrapText="0"/>
    </xf>
    <xf borderId="0" fillId="0" fontId="2" numFmtId="10" xfId="0" applyFont="1" applyNumberFormat="1"/>
    <xf borderId="1" fillId="0" fontId="1" numFmtId="259" xfId="0" applyAlignment="1" applyBorder="1" applyFont="1" applyNumberFormat="1">
      <alignment horizontal="right" shrinkToFit="0" vertical="bottom" wrapText="0"/>
    </xf>
    <xf borderId="0" fillId="3" fontId="2" numFmtId="0" xfId="0" applyFill="1" applyFont="1"/>
    <xf borderId="1" fillId="0" fontId="1" numFmtId="260" xfId="0" applyAlignment="1" applyBorder="1" applyFont="1" applyNumberFormat="1">
      <alignment horizontal="right" shrinkToFit="0" vertical="bottom" wrapText="0"/>
    </xf>
    <xf borderId="1" fillId="0" fontId="1" numFmtId="261" xfId="0" applyAlignment="1" applyBorder="1" applyFont="1" applyNumberFormat="1">
      <alignment horizontal="right" shrinkToFit="0" vertical="bottom" wrapText="0"/>
    </xf>
    <xf borderId="1" fillId="0" fontId="1" numFmtId="262" xfId="0" applyAlignment="1" applyBorder="1" applyFont="1" applyNumberFormat="1">
      <alignment horizontal="right" shrinkToFit="0" vertical="bottom" wrapText="0"/>
    </xf>
    <xf borderId="1" fillId="0" fontId="1" numFmtId="263" xfId="0" applyAlignment="1" applyBorder="1" applyFont="1" applyNumberFormat="1">
      <alignment horizontal="right" shrinkToFit="0" vertical="bottom" wrapText="0"/>
    </xf>
    <xf borderId="1" fillId="0" fontId="1" numFmtId="264" xfId="0" applyAlignment="1" applyBorder="1" applyFont="1" applyNumberFormat="1">
      <alignment horizontal="right" shrinkToFit="0" vertical="bottom" wrapText="0"/>
    </xf>
    <xf borderId="23" fillId="0" fontId="2" numFmtId="4" xfId="0" applyBorder="1" applyFont="1" applyNumberFormat="1"/>
    <xf borderId="1" fillId="0" fontId="1" numFmtId="265" xfId="0" applyAlignment="1" applyBorder="1" applyFont="1" applyNumberFormat="1">
      <alignment horizontal="right" shrinkToFit="0" vertical="bottom" wrapText="0"/>
    </xf>
    <xf borderId="24" fillId="0" fontId="2" numFmtId="4" xfId="0" applyBorder="1" applyFont="1" applyNumberFormat="1"/>
    <xf borderId="1" fillId="0" fontId="1" numFmtId="266" xfId="0" applyAlignment="1" applyBorder="1" applyFont="1" applyNumberFormat="1">
      <alignment horizontal="right" shrinkToFit="0" vertical="bottom" wrapText="0"/>
    </xf>
    <xf borderId="18" fillId="5" fontId="1" numFmtId="0" xfId="0" applyAlignment="1" applyBorder="1" applyFill="1" applyFont="1">
      <alignment horizontal="right" shrinkToFit="0" vertical="top" wrapText="0"/>
    </xf>
    <xf borderId="1" fillId="0" fontId="1" numFmtId="267" xfId="0" applyAlignment="1" applyBorder="1" applyFont="1" applyNumberFormat="1">
      <alignment horizontal="right" shrinkToFit="0" vertical="bottom" wrapText="0"/>
    </xf>
    <xf borderId="25" fillId="0" fontId="2" numFmtId="4" xfId="0" applyBorder="1" applyFont="1" applyNumberFormat="1"/>
    <xf borderId="26" fillId="0" fontId="2" numFmtId="4" xfId="0" applyBorder="1" applyFont="1" applyNumberFormat="1"/>
    <xf borderId="27" fillId="0" fontId="2" numFmtId="0" xfId="0" applyBorder="1" applyFont="1"/>
    <xf borderId="28" fillId="0" fontId="2" numFmtId="0" xfId="0" applyBorder="1" applyFont="1"/>
    <xf borderId="18" fillId="5" fontId="1" numFmtId="0" xfId="0" applyAlignment="1" applyBorder="1" applyFill="1" applyFont="1">
      <alignment horizontal="center" readingOrder="0"/>
    </xf>
    <xf borderId="18" fillId="6" fontId="1" numFmtId="0" xfId="0" applyAlignment="1" applyBorder="1" applyFill="1" applyFont="1">
      <alignment horizontal="center" readingOrder="0"/>
    </xf>
    <xf borderId="1" fillId="0" fontId="1" numFmtId="268" xfId="0" applyAlignment="1" applyBorder="1" applyFont="1" applyNumberFormat="1">
      <alignment horizontal="right" shrinkToFit="0" vertical="bottom" wrapText="0"/>
    </xf>
    <xf borderId="1" fillId="0" fontId="1" numFmtId="269" xfId="0" applyAlignment="1" applyBorder="1" applyFont="1" applyNumberFormat="1">
      <alignment horizontal="right" shrinkToFit="0" vertical="bottom" wrapText="0"/>
    </xf>
    <xf borderId="1" fillId="0" fontId="1" numFmtId="270" xfId="0" applyAlignment="1" applyBorder="1" applyFont="1" applyNumberFormat="1">
      <alignment horizontal="right" shrinkToFit="0" vertical="bottom" wrapText="0"/>
    </xf>
    <xf borderId="1" fillId="0" fontId="1" numFmtId="271" xfId="0" applyAlignment="1" applyBorder="1" applyFont="1" applyNumberFormat="1">
      <alignment horizontal="right" shrinkToFit="0" vertical="bottom" wrapText="0"/>
    </xf>
    <xf borderId="1" fillId="0" fontId="1" numFmtId="272" xfId="0" applyAlignment="1" applyBorder="1" applyFont="1" applyNumberFormat="1">
      <alignment horizontal="right" shrinkToFit="0" vertical="bottom" wrapText="0"/>
    </xf>
    <xf borderId="1" fillId="0" fontId="1" numFmtId="273" xfId="0" applyAlignment="1" applyBorder="1" applyFont="1" applyNumberFormat="1">
      <alignment horizontal="right" shrinkToFit="0" vertical="bottom" wrapText="0"/>
    </xf>
    <xf borderId="1" fillId="0" fontId="1" numFmtId="274" xfId="0" applyAlignment="1" applyBorder="1" applyFont="1" applyNumberFormat="1">
      <alignment horizontal="right" shrinkToFit="0" vertical="bottom" wrapText="0"/>
    </xf>
    <xf borderId="1" fillId="0" fontId="1" numFmtId="275" xfId="0" applyAlignment="1" applyBorder="1" applyFont="1" applyNumberFormat="1">
      <alignment horizontal="right" shrinkToFit="0" vertical="bottom" wrapText="0"/>
    </xf>
    <xf borderId="1" fillId="0" fontId="1" numFmtId="276" xfId="0" applyAlignment="1" applyBorder="1" applyFont="1" applyNumberFormat="1">
      <alignment horizontal="right" shrinkToFit="0" vertical="bottom" wrapText="0"/>
    </xf>
    <xf borderId="1" fillId="0" fontId="1" numFmtId="277" xfId="0" applyAlignment="1" applyBorder="1" applyFont="1" applyNumberFormat="1">
      <alignment horizontal="right" shrinkToFit="0" vertical="bottom" wrapText="0"/>
    </xf>
    <xf borderId="1" fillId="0" fontId="1" numFmtId="278" xfId="0" applyAlignment="1" applyBorder="1" applyFont="1" applyNumberFormat="1">
      <alignment horizontal="right" shrinkToFit="0" vertical="bottom" wrapText="0"/>
    </xf>
    <xf borderId="1" fillId="0" fontId="1" numFmtId="279" xfId="0" applyAlignment="1" applyBorder="1" applyFont="1" applyNumberFormat="1">
      <alignment horizontal="right" shrinkToFit="0" vertical="bottom" wrapText="0"/>
    </xf>
    <xf borderId="29" fillId="5" fontId="1" numFmtId="0" xfId="0" applyAlignment="1" applyBorder="1" applyFill="1" applyFont="1">
      <alignment readingOrder="0" vertical="top"/>
    </xf>
    <xf borderId="30" fillId="5" fontId="1" numFmtId="0" xfId="0" applyAlignment="1" applyBorder="1" applyFill="1" applyFont="1">
      <alignment vertical="top"/>
    </xf>
    <xf borderId="30" fillId="5" fontId="1" numFmtId="0" xfId="0" applyAlignment="1" applyBorder="1" applyFill="1" applyFont="1">
      <alignment horizontal="right" readingOrder="0" vertical="top"/>
    </xf>
    <xf borderId="30" fillId="5" fontId="1" numFmtId="0" xfId="0" applyAlignment="1" applyBorder="1" applyFill="1" applyFont="1">
      <alignment horizontal="center" readingOrder="0" vertical="top"/>
    </xf>
    <xf borderId="1" fillId="0" fontId="1" numFmtId="280" xfId="0" applyAlignment="1" applyBorder="1" applyFont="1" applyNumberFormat="1">
      <alignment horizontal="right" shrinkToFit="0" vertical="bottom" wrapText="0"/>
    </xf>
    <xf borderId="30" fillId="6" fontId="1" numFmtId="0" xfId="0" applyAlignment="1" applyBorder="1" applyFill="1" applyFont="1">
      <alignment horizontal="center" readingOrder="0" vertical="top"/>
    </xf>
    <xf borderId="1" fillId="0" fontId="1" numFmtId="281" xfId="0" applyAlignment="1" applyBorder="1" applyFont="1" applyNumberFormat="1">
      <alignment horizontal="right" shrinkToFit="0" vertical="bottom" wrapText="0"/>
    </xf>
    <xf borderId="1" fillId="0" fontId="1" numFmtId="282" xfId="0" applyAlignment="1" applyBorder="1" applyFont="1" applyNumberFormat="1">
      <alignment horizontal="right" shrinkToFit="0" vertical="bottom" wrapText="0"/>
    </xf>
    <xf borderId="1" fillId="0" fontId="1" numFmtId="283" xfId="0" applyAlignment="1" applyBorder="1" applyFont="1" applyNumberFormat="1">
      <alignment horizontal="right" shrinkToFit="0" vertical="bottom" wrapText="0"/>
    </xf>
    <xf borderId="1" fillId="0" fontId="1" numFmtId="284" xfId="0" applyAlignment="1" applyBorder="1" applyFont="1" applyNumberFormat="1">
      <alignment horizontal="right" shrinkToFit="0" vertical="bottom" wrapText="0"/>
    </xf>
    <xf borderId="1" fillId="0" fontId="1" numFmtId="285" xfId="0" applyAlignment="1" applyBorder="1" applyFont="1" applyNumberFormat="1">
      <alignment horizontal="right" shrinkToFit="0" vertical="bottom" wrapText="0"/>
    </xf>
    <xf borderId="1" fillId="5" fontId="1" numFmtId="0" xfId="0" applyAlignment="1" applyBorder="1" applyFill="1" applyFont="1">
      <alignment readingOrder="0" vertical="top"/>
    </xf>
    <xf borderId="1" fillId="0" fontId="1" numFmtId="286" xfId="0" applyAlignment="1" applyBorder="1" applyFont="1" applyNumberFormat="1">
      <alignment horizontal="right" shrinkToFit="0" vertical="bottom" wrapText="0"/>
    </xf>
    <xf borderId="1" fillId="5" fontId="1" numFmtId="0" xfId="0" applyAlignment="1" applyBorder="1" applyFill="1" applyFont="1">
      <alignment vertical="top"/>
    </xf>
    <xf borderId="1" fillId="0" fontId="1" numFmtId="287" xfId="0" applyAlignment="1" applyBorder="1" applyFont="1" applyNumberFormat="1">
      <alignment horizontal="right" shrinkToFit="0" vertical="bottom" wrapText="0"/>
    </xf>
    <xf borderId="1" fillId="5" fontId="1" numFmtId="0" xfId="0" applyAlignment="1" applyBorder="1" applyFill="1" applyFont="1">
      <alignment horizontal="right" readingOrder="0" vertical="top"/>
    </xf>
    <xf borderId="1" fillId="0" fontId="1" numFmtId="288" xfId="0" applyAlignment="1" applyBorder="1" applyFont="1" applyNumberFormat="1">
      <alignment horizontal="right" shrinkToFit="0" vertical="bottom" wrapText="0"/>
    </xf>
    <xf borderId="1" fillId="5" fontId="1" numFmtId="0" xfId="0" applyAlignment="1" applyBorder="1" applyFill="1" applyFont="1">
      <alignment horizontal="center" readingOrder="0" vertical="top"/>
    </xf>
    <xf borderId="1" fillId="0" fontId="1" numFmtId="289" xfId="0" applyAlignment="1" applyBorder="1" applyFont="1" applyNumberFormat="1">
      <alignment horizontal="right" shrinkToFit="0" vertical="bottom" wrapText="0"/>
    </xf>
    <xf borderId="1" fillId="6" fontId="1" numFmtId="0" xfId="0" applyAlignment="1" applyBorder="1" applyFill="1" applyFont="1">
      <alignment horizontal="center" readingOrder="0" vertical="top"/>
    </xf>
    <xf borderId="1" fillId="0" fontId="1" numFmtId="290" xfId="0" applyAlignment="1" applyBorder="1" applyFont="1" applyNumberFormat="1">
      <alignment horizontal="right" shrinkToFit="0" vertical="bottom" wrapText="0"/>
    </xf>
    <xf borderId="1" fillId="0" fontId="1" numFmtId="291" xfId="0" applyAlignment="1" applyBorder="1" applyFont="1" applyNumberFormat="1">
      <alignment horizontal="right" shrinkToFit="0" vertical="bottom" wrapText="0"/>
    </xf>
    <xf borderId="1" fillId="8" fontId="8" numFmtId="0" xfId="0" applyAlignment="1" applyBorder="1" applyFill="1" applyFont="1">
      <alignment readingOrder="0" shrinkToFit="0" vertical="bottom" wrapText="0"/>
    </xf>
    <xf borderId="1" fillId="0" fontId="1" numFmtId="292" xfId="0" applyAlignment="1" applyBorder="1" applyFont="1" applyNumberFormat="1">
      <alignment horizontal="right" shrinkToFit="0" vertical="bottom" wrapText="0"/>
    </xf>
    <xf borderId="1" fillId="8" fontId="8" numFmtId="0" xfId="0" applyAlignment="1" applyBorder="1" applyFill="1" applyFont="1">
      <alignment shrinkToFit="0" vertical="bottom" wrapText="0"/>
    </xf>
    <xf borderId="1" fillId="0" fontId="1" numFmtId="293" xfId="0" applyAlignment="1" applyBorder="1" applyFont="1" applyNumberFormat="1">
      <alignment horizontal="right" shrinkToFit="0" vertical="bottom" wrapText="0"/>
    </xf>
    <xf borderId="1" fillId="8" fontId="8" numFmtId="0" xfId="0" applyAlignment="1" applyBorder="1" applyFill="1" applyFont="1">
      <alignment horizontal="center" readingOrder="0" shrinkToFit="0" vertical="bottom" wrapText="0"/>
    </xf>
    <xf borderId="1" fillId="0" fontId="1" numFmtId="294" xfId="0" applyAlignment="1" applyBorder="1" applyFont="1" applyNumberFormat="1">
      <alignment horizontal="right" shrinkToFit="0" vertical="bottom" wrapText="0"/>
    </xf>
    <xf borderId="1" fillId="8" fontId="8" numFmtId="0" xfId="0" applyAlignment="1" applyBorder="1" applyFill="1" applyFont="1">
      <alignment horizontal="center" shrinkToFit="0" vertical="bottom" wrapText="0"/>
    </xf>
    <xf borderId="1" fillId="0" fontId="1" numFmtId="295" xfId="0" applyAlignment="1" applyBorder="1" applyFont="1" applyNumberFormat="1">
      <alignment horizontal="right" shrinkToFit="0" vertical="bottom" wrapText="0"/>
    </xf>
    <xf borderId="22" fillId="8" fontId="1" numFmtId="0" xfId="0" applyAlignment="1" applyBorder="1" applyFill="1" applyFont="1">
      <alignment horizontal="right" shrinkToFit="0" vertical="top" wrapText="0"/>
    </xf>
    <xf borderId="1" fillId="0" fontId="1" numFmtId="296" xfId="0" applyAlignment="1" applyBorder="1" applyFont="1" applyNumberFormat="1">
      <alignment horizontal="right" shrinkToFit="0" vertical="bottom" wrapText="0"/>
    </xf>
    <xf borderId="1" fillId="0" fontId="1" numFmtId="297" xfId="0" applyAlignment="1" applyBorder="1" applyFont="1" applyNumberFormat="1">
      <alignment horizontal="right" shrinkToFit="0" vertical="bottom" wrapText="0"/>
    </xf>
    <xf borderId="1" fillId="0" fontId="1" numFmtId="298" xfId="0" applyAlignment="1" applyBorder="1" applyFont="1" applyNumberFormat="1">
      <alignment horizontal="right" shrinkToFit="0" vertical="bottom" wrapText="0"/>
    </xf>
    <xf borderId="1" fillId="0" fontId="1" numFmtId="299" xfId="0" applyAlignment="1" applyBorder="1" applyFont="1" applyNumberFormat="1">
      <alignment horizontal="right" shrinkToFit="0" vertical="bottom" wrapText="0"/>
    </xf>
    <xf borderId="1" fillId="0" fontId="1" numFmtId="300" xfId="0" applyAlignment="1" applyBorder="1" applyFont="1" applyNumberFormat="1">
      <alignment horizontal="right" shrinkToFit="0" vertical="bottom" wrapText="0"/>
    </xf>
    <xf borderId="1" fillId="0" fontId="1" numFmtId="301" xfId="0" applyAlignment="1" applyBorder="1" applyFont="1" applyNumberFormat="1">
      <alignment horizontal="right" shrinkToFit="0" vertical="bottom" wrapText="0"/>
    </xf>
    <xf borderId="1" fillId="8" fontId="8" numFmtId="0" xfId="0" applyAlignment="1" applyBorder="1" applyFill="1" applyFont="1">
      <alignment horizontal="right" readingOrder="0" shrinkToFit="0" vertical="bottom" wrapText="0"/>
    </xf>
    <xf borderId="1" fillId="0" fontId="1" numFmtId="302" xfId="0" applyAlignment="1" applyBorder="1" applyFont="1" applyNumberFormat="1">
      <alignment horizontal="right" shrinkToFit="0" vertical="bottom" wrapText="0"/>
    </xf>
    <xf borderId="1" fillId="0" fontId="1" numFmtId="303" xfId="0" applyAlignment="1" applyBorder="1" applyFont="1" applyNumberFormat="1">
      <alignment horizontal="right" shrinkToFit="0" vertical="bottom" wrapText="0"/>
    </xf>
    <xf borderId="1" fillId="0" fontId="1" numFmtId="304" xfId="0" applyAlignment="1" applyBorder="1" applyFont="1" applyNumberFormat="1">
      <alignment horizontal="right" shrinkToFit="0" vertical="bottom" wrapText="0"/>
    </xf>
    <xf borderId="31" fillId="4" fontId="1" numFmtId="0" xfId="0" applyAlignment="1" applyBorder="1" applyFill="1" applyFont="1">
      <alignment readingOrder="0" vertical="top"/>
    </xf>
    <xf borderId="1" fillId="0" fontId="1" numFmtId="305" xfId="0" applyAlignment="1" applyBorder="1" applyFont="1" applyNumberFormat="1">
      <alignment horizontal="right" shrinkToFit="0" vertical="bottom" wrapText="0"/>
    </xf>
    <xf borderId="22" fillId="4" fontId="1" numFmtId="0" xfId="0" applyAlignment="1" applyBorder="1" applyFill="1" applyFont="1">
      <alignment vertical="top"/>
    </xf>
    <xf borderId="1" fillId="0" fontId="1" numFmtId="306" xfId="0" applyAlignment="1" applyBorder="1" applyFont="1" applyNumberFormat="1">
      <alignment horizontal="right" shrinkToFit="0" vertical="bottom" wrapText="0"/>
    </xf>
    <xf borderId="22" fillId="4" fontId="1" numFmtId="0" xfId="0" applyAlignment="1" applyBorder="1" applyFill="1" applyFont="1">
      <alignment horizontal="center" readingOrder="0" vertical="top"/>
    </xf>
    <xf borderId="1" fillId="0" fontId="1" numFmtId="307" xfId="0" applyAlignment="1" applyBorder="1" applyFont="1" applyNumberFormat="1">
      <alignment horizontal="right" shrinkToFit="0" vertical="bottom" wrapText="0"/>
    </xf>
    <xf borderId="1" fillId="4" fontId="8" numFmtId="0" xfId="0" applyAlignment="1" applyBorder="1" applyFill="1" applyFont="1">
      <alignment shrinkToFit="0" vertical="bottom" wrapText="0"/>
    </xf>
    <xf borderId="1" fillId="0" fontId="1" numFmtId="308" xfId="0" applyAlignment="1" applyBorder="1" applyFont="1" applyNumberFormat="1">
      <alignment horizontal="right" shrinkToFit="0" vertical="bottom" wrapText="0"/>
    </xf>
    <xf borderId="18" fillId="4" fontId="1" numFmtId="0" xfId="0" applyAlignment="1" applyBorder="1" applyFill="1" applyFont="1">
      <alignment horizontal="right" readingOrder="0" shrinkToFit="0" vertical="top" wrapText="0"/>
    </xf>
    <xf borderId="1" fillId="0" fontId="1" numFmtId="309" xfId="0" applyAlignment="1" applyBorder="1" applyFont="1" applyNumberFormat="1">
      <alignment horizontal="right" shrinkToFit="0" vertical="bottom" wrapText="0"/>
    </xf>
    <xf borderId="1" fillId="0" fontId="1" numFmtId="310" xfId="0" applyAlignment="1" applyBorder="1" applyFont="1" applyNumberFormat="1">
      <alignment horizontal="right" shrinkToFit="0" vertical="bottom" wrapText="0"/>
    </xf>
    <xf borderId="1" fillId="0" fontId="1" numFmtId="311" xfId="0" applyAlignment="1" applyBorder="1" applyFont="1" applyNumberFormat="1">
      <alignment horizontal="right" shrinkToFit="0" vertical="bottom" wrapText="0"/>
    </xf>
    <xf borderId="1" fillId="0" fontId="1" numFmtId="312" xfId="0" applyAlignment="1" applyBorder="1" applyFont="1" applyNumberFormat="1">
      <alignment horizontal="right" shrinkToFit="0" vertical="bottom" wrapText="0"/>
    </xf>
    <xf borderId="1" fillId="0" fontId="1" numFmtId="313" xfId="0" applyAlignment="1" applyBorder="1" applyFont="1" applyNumberFormat="1">
      <alignment horizontal="right" shrinkToFit="0" vertical="bottom" wrapText="0"/>
    </xf>
    <xf borderId="18" fillId="4" fontId="1" numFmtId="0" xfId="0" applyAlignment="1" applyBorder="1" applyFill="1" applyFont="1">
      <alignment readingOrder="0" vertical="top"/>
    </xf>
    <xf borderId="1" fillId="0" fontId="1" numFmtId="314" xfId="0" applyAlignment="1" applyBorder="1" applyFont="1" applyNumberFormat="1">
      <alignment horizontal="right" shrinkToFit="0" vertical="bottom" wrapText="0"/>
    </xf>
    <xf borderId="18" fillId="4" fontId="1" numFmtId="0" xfId="0" applyAlignment="1" applyBorder="1" applyFill="1" applyFont="1">
      <alignment vertical="top"/>
    </xf>
    <xf borderId="1" fillId="0" fontId="1" numFmtId="315" xfId="0" applyAlignment="1" applyBorder="1" applyFont="1" applyNumberFormat="1">
      <alignment horizontal="right" shrinkToFit="0" vertical="bottom" wrapText="0"/>
    </xf>
    <xf borderId="18" fillId="4" fontId="1" numFmtId="0" xfId="0" applyAlignment="1" applyBorder="1" applyFill="1" applyFont="1">
      <alignment horizontal="center" vertical="top"/>
    </xf>
    <xf borderId="0" fillId="4" fontId="8" numFmtId="0" xfId="0" applyAlignment="1" applyFill="1" applyFont="1">
      <alignment shrinkToFit="0" vertical="bottom" wrapText="0"/>
    </xf>
    <xf borderId="32" fillId="0" fontId="8" numFmtId="0" xfId="0" applyAlignment="1" applyBorder="1" applyFont="1">
      <alignment horizontal="right" shrinkToFit="0" vertical="bottom" wrapText="0"/>
    </xf>
    <xf borderId="17" fillId="0" fontId="8" numFmtId="0" xfId="0" applyAlignment="1" applyBorder="1" applyFont="1">
      <alignment horizontal="right" shrinkToFit="0" vertical="bottom" wrapText="0"/>
    </xf>
    <xf borderId="1" fillId="0" fontId="1" numFmtId="316" xfId="0" applyAlignment="1" applyBorder="1" applyFont="1" applyNumberFormat="1">
      <alignment horizontal="right" shrinkToFit="0" vertical="bottom" wrapText="0"/>
    </xf>
    <xf borderId="1" fillId="0" fontId="1" numFmtId="317" xfId="0" applyAlignment="1" applyBorder="1" applyFont="1" applyNumberFormat="1">
      <alignment horizontal="right" shrinkToFit="0" vertical="bottom" wrapText="0"/>
    </xf>
    <xf borderId="1" fillId="0" fontId="1" numFmtId="318" xfId="0" applyAlignment="1" applyBorder="1" applyFont="1" applyNumberFormat="1">
      <alignment horizontal="right" shrinkToFit="0" vertical="bottom" wrapText="0"/>
    </xf>
    <xf borderId="17" fillId="0" fontId="8" numFmtId="0" xfId="0" applyAlignment="1" applyBorder="1" applyFont="1">
      <alignment shrinkToFit="0" vertical="bottom" wrapText="0"/>
    </xf>
    <xf borderId="30" fillId="4" fontId="1" numFmtId="0" xfId="0" applyAlignment="1" applyBorder="1" applyFill="1" applyFont="1">
      <alignment vertical="top"/>
    </xf>
    <xf borderId="1" fillId="0" fontId="5" numFmtId="319" xfId="0" applyAlignment="1" applyBorder="1" applyFont="1" applyNumberFormat="1">
      <alignment horizontal="right" shrinkToFit="0" vertical="bottom" wrapText="0"/>
    </xf>
    <xf borderId="30" fillId="4" fontId="1" numFmtId="0" xfId="0" applyAlignment="1" applyBorder="1" applyFill="1" applyFont="1">
      <alignment horizontal="center" vertical="top"/>
    </xf>
    <xf borderId="1" fillId="0" fontId="5" numFmtId="320" xfId="0" applyAlignment="1" applyBorder="1" applyFont="1" applyNumberFormat="1">
      <alignment horizontal="right" shrinkToFit="0" vertical="bottom" wrapText="0"/>
    </xf>
    <xf borderId="30" fillId="4" fontId="1" numFmtId="0" xfId="0" applyAlignment="1" applyBorder="1" applyFill="1" applyFont="1">
      <alignment horizontal="center" readingOrder="0" vertical="top"/>
    </xf>
    <xf borderId="1" fillId="0" fontId="5" numFmtId="321" xfId="0" applyAlignment="1" applyBorder="1" applyFont="1" applyNumberFormat="1">
      <alignment horizontal="right" shrinkToFit="0" vertical="bottom" wrapText="0"/>
    </xf>
    <xf borderId="18" fillId="4" fontId="1" numFmtId="0" xfId="0" applyAlignment="1" applyBorder="1" applyFill="1" applyFont="1">
      <alignment horizontal="right" shrinkToFit="0" vertical="top" wrapText="0"/>
    </xf>
    <xf borderId="1" fillId="0" fontId="5" numFmtId="322" xfId="0" applyAlignment="1" applyBorder="1" applyFont="1" applyNumberFormat="1">
      <alignment horizontal="right" shrinkToFit="0" vertical="bottom" wrapText="0"/>
    </xf>
    <xf borderId="1" fillId="0" fontId="5" numFmtId="323" xfId="0" applyAlignment="1" applyBorder="1" applyFont="1" applyNumberFormat="1">
      <alignment horizontal="right" shrinkToFit="0" vertical="bottom" wrapText="0"/>
    </xf>
    <xf borderId="1" fillId="0" fontId="5" numFmtId="324" xfId="0" applyAlignment="1" applyBorder="1" applyFont="1" applyNumberFormat="1">
      <alignment horizontal="right" shrinkToFit="0" vertical="bottom" wrapText="0"/>
    </xf>
    <xf borderId="1" fillId="0" fontId="5" numFmtId="325" xfId="0" applyAlignment="1" applyBorder="1" applyFont="1" applyNumberFormat="1">
      <alignment horizontal="right" shrinkToFit="0" vertical="bottom" wrapText="0"/>
    </xf>
    <xf borderId="0" fillId="9" fontId="8" numFmtId="0" xfId="0" applyAlignment="1" applyFill="1" applyFont="1">
      <alignment shrinkToFit="0" vertical="bottom" wrapText="0"/>
    </xf>
    <xf borderId="1" fillId="0" fontId="5" numFmtId="326" xfId="0" applyAlignment="1" applyBorder="1" applyFont="1" applyNumberFormat="1">
      <alignment horizontal="right" shrinkToFit="0" vertical="bottom" wrapText="0"/>
    </xf>
    <xf borderId="0" fillId="9" fontId="1" numFmtId="0" xfId="0" applyAlignment="1" applyFill="1" applyFont="1">
      <alignment readingOrder="0" vertical="top"/>
    </xf>
    <xf borderId="1" fillId="0" fontId="5" numFmtId="327" xfId="0" applyAlignment="1" applyBorder="1" applyFont="1" applyNumberFormat="1">
      <alignment horizontal="right" shrinkToFit="0" vertical="bottom" wrapText="0"/>
    </xf>
    <xf borderId="0" fillId="9" fontId="1" numFmtId="0" xfId="0" applyAlignment="1" applyFill="1" applyFont="1">
      <alignment vertical="top"/>
    </xf>
    <xf borderId="1" fillId="0" fontId="5" numFmtId="328" xfId="0" applyAlignment="1" applyBorder="1" applyFont="1" applyNumberFormat="1">
      <alignment horizontal="right" shrinkToFit="0" vertical="bottom" wrapText="0"/>
    </xf>
    <xf borderId="0" fillId="9" fontId="1" numFmtId="0" xfId="0" applyAlignment="1" applyFill="1" applyFont="1">
      <alignment horizontal="center" vertical="top"/>
    </xf>
    <xf borderId="1" fillId="9" fontId="8" numFmtId="0" xfId="0" applyAlignment="1" applyBorder="1" applyFill="1" applyFont="1">
      <alignment shrinkToFit="0" vertical="bottom" wrapText="0"/>
    </xf>
    <xf borderId="1" fillId="0" fontId="5" numFmtId="329" xfId="0" applyAlignment="1" applyBorder="1" applyFont="1" applyNumberFormat="1">
      <alignment horizontal="right" shrinkToFit="0" vertical="bottom" wrapText="0"/>
    </xf>
    <xf borderId="18" fillId="9" fontId="1" numFmtId="0" xfId="0" applyAlignment="1" applyBorder="1" applyFill="1" applyFont="1">
      <alignment horizontal="right" shrinkToFit="0" vertical="top" wrapText="0"/>
    </xf>
    <xf borderId="1" fillId="9" fontId="8" numFmtId="0" xfId="0" applyAlignment="1" applyBorder="1" applyFill="1" applyFont="1">
      <alignment horizontal="right" shrinkToFit="0" vertical="bottom" wrapText="0"/>
    </xf>
    <xf borderId="1" fillId="9" fontId="8" numFmtId="0" xfId="0" applyAlignment="1" applyBorder="1" applyFill="1" applyFont="1">
      <alignment horizontal="right" readingOrder="0" shrinkToFit="0" vertical="bottom" wrapText="0"/>
    </xf>
    <xf borderId="1" fillId="4" fontId="10" numFmtId="0" xfId="0" applyAlignment="1" applyBorder="1" applyFill="1" applyFont="1">
      <alignment readingOrder="0" shrinkToFit="0" vertical="bottom" wrapText="0"/>
    </xf>
    <xf borderId="1" fillId="4" fontId="10" numFmtId="0" xfId="0" applyAlignment="1" applyBorder="1" applyFill="1" applyFont="1">
      <alignment shrinkToFit="0" vertical="bottom" wrapText="0"/>
    </xf>
    <xf borderId="1" fillId="4" fontId="10" numFmtId="0" xfId="0" applyAlignment="1" applyBorder="1" applyFill="1" applyFont="1">
      <alignment horizontal="right" readingOrder="0" shrinkToFit="0" vertical="bottom" wrapText="0"/>
    </xf>
    <xf borderId="20" fillId="4" fontId="1" numFmtId="0" xfId="0" applyAlignment="1" applyBorder="1" applyFill="1" applyFont="1">
      <alignment horizontal="right" shrinkToFit="0" vertical="top" wrapText="0"/>
    </xf>
    <xf borderId="1" fillId="0" fontId="14" numFmtId="0" xfId="0" applyAlignment="1" applyBorder="1" applyFont="1">
      <alignment horizontal="right" readingOrder="0" shrinkToFit="0" vertical="bottom" wrapText="0"/>
    </xf>
    <xf borderId="1" fillId="4" fontId="1" numFmtId="0" xfId="0" applyAlignment="1" applyBorder="1" applyFill="1" applyFont="1">
      <alignment readingOrder="0" vertical="top"/>
    </xf>
    <xf borderId="1" fillId="4" fontId="1" numFmtId="0" xfId="0" applyAlignment="1" applyBorder="1" applyFill="1" applyFont="1">
      <alignment vertical="top"/>
    </xf>
    <xf borderId="1" fillId="4" fontId="1" numFmtId="0" xfId="0" applyAlignment="1" applyBorder="1" applyFill="1" applyFont="1">
      <alignment horizontal="right" readingOrder="0" vertical="top"/>
    </xf>
    <xf borderId="33" fillId="4" fontId="1" numFmtId="0" xfId="0" applyAlignment="1" applyBorder="1" applyFill="1" applyFont="1">
      <alignment horizontal="right" readingOrder="0" vertical="top"/>
    </xf>
    <xf borderId="33" fillId="4" fontId="10" numFmtId="0" xfId="0" applyAlignment="1" applyBorder="1" applyFill="1" applyFont="1">
      <alignment horizontal="right" readingOrder="0" shrinkToFit="0" vertical="bottom" wrapText="0"/>
    </xf>
    <xf borderId="33" fillId="4" fontId="10" numFmtId="0" xfId="0" applyAlignment="1" applyBorder="1" applyFill="1" applyFont="1">
      <alignment shrinkToFit="0" vertical="bottom" wrapText="0"/>
    </xf>
    <xf borderId="1" fillId="0" fontId="1" numFmtId="330" xfId="0" applyAlignment="1" applyBorder="1" applyFont="1" applyNumberFormat="1">
      <alignment horizontal="right" shrinkToFit="0" vertical="bottom" wrapText="0"/>
    </xf>
    <xf borderId="22" fillId="4" fontId="1" numFmtId="0" xfId="0" applyAlignment="1" applyBorder="1" applyFill="1" applyFont="1">
      <alignment horizontal="right" shrinkToFit="0" vertical="top" wrapText="0"/>
    </xf>
    <xf borderId="1" fillId="0" fontId="5" numFmtId="330" xfId="0" applyAlignment="1" applyBorder="1" applyFont="1" applyNumberFormat="1">
      <alignment horizontal="right" shrinkToFit="0" vertical="bottom" wrapText="0"/>
    </xf>
    <xf borderId="0" fillId="4" fontId="1" numFmtId="0" xfId="0" applyAlignment="1" applyFill="1" applyFont="1">
      <alignment readingOrder="0" vertical="top"/>
    </xf>
    <xf borderId="34" fillId="4" fontId="1" numFmtId="0" xfId="0" applyAlignment="1" applyBorder="1" applyFill="1" applyFont="1">
      <alignment vertical="top"/>
    </xf>
    <xf borderId="28" fillId="4" fontId="1" numFmtId="0" xfId="0" applyAlignment="1" applyBorder="1" applyFill="1" applyFont="1">
      <alignment vertical="top"/>
    </xf>
    <xf borderId="35" fillId="4" fontId="1" numFmtId="0" xfId="0" applyAlignment="1" applyBorder="1" applyFill="1" applyFont="1">
      <alignment readingOrder="0" vertical="top"/>
    </xf>
    <xf borderId="0" fillId="10" fontId="2" numFmtId="0" xfId="0" applyAlignment="1" applyFill="1" applyFont="1">
      <alignment readingOrder="0"/>
    </xf>
    <xf borderId="0" fillId="10" fontId="2" numFmtId="0" xfId="0" applyFill="1" applyFont="1"/>
    <xf borderId="1" fillId="4" fontId="14" numFmtId="0" xfId="0" applyAlignment="1" applyBorder="1" applyFill="1" applyFont="1">
      <alignment horizontal="right" readingOrder="0" shrinkToFit="0" vertical="top" wrapText="0"/>
    </xf>
    <xf borderId="1" fillId="4" fontId="1" numFmtId="0" xfId="0" applyAlignment="1" applyBorder="1" applyFill="1" applyFont="1">
      <alignment horizontal="right" readingOrder="0" shrinkToFit="0" vertical="top" wrapText="0"/>
    </xf>
    <xf borderId="1" fillId="0" fontId="8" numFmtId="4" xfId="0" applyAlignment="1" applyBorder="1" applyFont="1" applyNumberFormat="1">
      <alignment horizontal="right" shrinkToFit="0" vertical="bottom" wrapText="0"/>
    </xf>
    <xf borderId="0" fillId="0" fontId="2" numFmtId="331" xfId="0" applyFont="1" applyNumberFormat="1"/>
    <xf borderId="34" fillId="0" fontId="10" numFmtId="332" xfId="0" applyAlignment="1" applyBorder="1" applyFont="1" applyNumberFormat="1">
      <alignment horizontal="left"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1" fillId="0" fontId="10" numFmtId="332" xfId="0" applyAlignment="1" applyBorder="1" applyFont="1" applyNumberFormat="1">
      <alignment horizontal="left" readingOrder="0" shrinkToFit="0" vertical="bottom" wrapText="0"/>
    </xf>
    <xf borderId="1" fillId="0" fontId="10" numFmtId="0" xfId="0" applyAlignment="1" applyBorder="1" applyFont="1">
      <alignment horizontal="right" shrinkToFit="0" vertical="bottom" wrapText="0"/>
    </xf>
    <xf borderId="1" fillId="7" fontId="10" numFmtId="0" xfId="0" applyAlignment="1" applyBorder="1" applyFill="1" applyFont="1">
      <alignment horizontal="left" readingOrder="0" shrinkToFit="0" vertical="bottom" wrapText="0"/>
    </xf>
    <xf borderId="1" fillId="7" fontId="10" numFmtId="0" xfId="0" applyAlignment="1" applyBorder="1" applyFill="1" applyFont="1">
      <alignment horizontal="left" shrinkToFit="0" vertical="bottom" wrapText="0"/>
    </xf>
    <xf borderId="1" fillId="7" fontId="10" numFmtId="0" xfId="0" applyAlignment="1" applyBorder="1" applyFill="1" applyFont="1">
      <alignment horizontal="right" readingOrder="0" shrinkToFit="0" vertical="bottom" wrapText="0"/>
    </xf>
    <xf borderId="1" fillId="11" fontId="14" numFmtId="0" xfId="0" applyAlignment="1" applyBorder="1" applyFill="1" applyFont="1">
      <alignment horizontal="right" readingOrder="0" shrinkToFit="0" vertical="bottom" wrapText="0"/>
    </xf>
    <xf borderId="1" fillId="7" fontId="8" numFmtId="4" xfId="0" applyAlignment="1" applyBorder="1" applyFill="1" applyFont="1" applyNumberFormat="1">
      <alignment horizontal="right" readingOrder="0" shrinkToFit="0" vertical="bottom" wrapText="0"/>
    </xf>
    <xf borderId="18" fillId="5" fontId="1" numFmtId="0" xfId="0" applyAlignment="1" applyBorder="1" applyFill="1" applyFont="1">
      <alignment horizontal="right" readingOrder="0" shrinkToFit="0" vertical="top" wrapText="0"/>
    </xf>
    <xf borderId="0" fillId="0" fontId="8" numFmtId="0" xfId="0" applyAlignment="1" applyFont="1">
      <alignment horizontal="right" shrinkToFit="0" vertical="bottom" wrapText="0"/>
    </xf>
    <xf borderId="1" fillId="12" fontId="14" numFmtId="0" xfId="0" applyAlignment="1" applyBorder="1" applyFill="1" applyFont="1">
      <alignment horizontal="right" readingOrder="0" shrinkToFit="0" vertical="bottom" wrapText="0"/>
    </xf>
    <xf borderId="1" fillId="7" fontId="8" numFmtId="0" xfId="0" applyAlignment="1" applyBorder="1" applyFill="1" applyFont="1">
      <alignment horizontal="right" shrinkToFit="0" vertical="bottom" wrapText="0"/>
    </xf>
    <xf borderId="1" fillId="11" fontId="13" numFmtId="0" xfId="0" applyAlignment="1" applyBorder="1" applyFill="1" applyFont="1">
      <alignment horizontal="center" readingOrder="0" shrinkToFit="0" vertical="bottom" wrapText="0"/>
    </xf>
    <xf borderId="1" fillId="7" fontId="8" numFmtId="0" xfId="0" applyAlignment="1" applyBorder="1" applyFill="1" applyFont="1">
      <alignment horizontal="right" readingOrder="0" shrinkToFit="0" vertical="bottom" wrapText="0"/>
    </xf>
    <xf borderId="1" fillId="5" fontId="14" numFmtId="0" xfId="0" applyAlignment="1" applyBorder="1" applyFill="1" applyFont="1">
      <alignment horizontal="right" readingOrder="0" shrinkToFit="0" vertical="bottom" wrapText="0"/>
    </xf>
    <xf borderId="1" fillId="7" fontId="13" numFmtId="0" xfId="0" applyAlignment="1" applyBorder="1" applyFill="1" applyFont="1">
      <alignment horizontal="center" readingOrder="0" shrinkToFit="0" vertical="bottom" wrapText="0"/>
    </xf>
    <xf borderId="0" fillId="5" fontId="1" numFmtId="0" xfId="0" applyAlignment="1" applyFill="1" applyFont="1">
      <alignment horizontal="right" shrinkToFit="0" vertical="top" wrapText="0"/>
    </xf>
    <xf borderId="0" fillId="4" fontId="8" numFmtId="0" xfId="0" applyAlignment="1" applyFill="1" applyFont="1">
      <alignment readingOrder="0" shrinkToFit="0" vertical="bottom" wrapText="0"/>
    </xf>
    <xf borderId="1" fillId="13" fontId="10" numFmtId="0" xfId="0" applyAlignment="1" applyBorder="1" applyFill="1" applyFont="1">
      <alignment horizontal="left" readingOrder="0" shrinkToFit="0" vertical="bottom" wrapText="0"/>
    </xf>
    <xf borderId="1" fillId="13" fontId="10" numFmtId="0" xfId="0" applyAlignment="1" applyBorder="1" applyFill="1" applyFont="1">
      <alignment horizontal="left" shrinkToFit="0" vertical="bottom" wrapText="0"/>
    </xf>
    <xf borderId="1" fillId="13" fontId="8" numFmtId="0" xfId="0" applyAlignment="1" applyBorder="1" applyFill="1" applyFont="1">
      <alignment horizontal="right" readingOrder="0" shrinkToFit="0" vertical="bottom" wrapText="0"/>
    </xf>
    <xf borderId="1" fillId="13" fontId="8" numFmtId="0" xfId="0" applyAlignment="1" applyBorder="1" applyFill="1" applyFont="1">
      <alignment horizontal="right" shrinkToFit="0" vertical="bottom" wrapText="0"/>
    </xf>
    <xf borderId="33" fillId="0" fontId="8" numFmtId="0" xfId="0" applyAlignment="1" applyBorder="1" applyFont="1">
      <alignment horizontal="left" shrinkToFit="0" vertical="bottom" wrapText="0"/>
    </xf>
    <xf borderId="27" fillId="13" fontId="10" numFmtId="0" xfId="0" applyAlignment="1" applyBorder="1" applyFill="1" applyFont="1">
      <alignment horizontal="left" readingOrder="0" shrinkToFit="0" vertical="bottom" wrapText="0"/>
    </xf>
    <xf borderId="1" fillId="13" fontId="10" numFmtId="0" xfId="0" applyAlignment="1" applyBorder="1" applyFill="1" applyFont="1">
      <alignment horizontal="right" readingOrder="0" shrinkToFit="0" vertical="bottom" wrapText="0"/>
    </xf>
    <xf borderId="1" fillId="13" fontId="10" numFmtId="0" xfId="0" applyAlignment="1" applyBorder="1" applyFill="1" applyFont="1">
      <alignment horizontal="right" shrinkToFit="0" vertical="bottom" wrapText="0"/>
    </xf>
    <xf borderId="36" fillId="5" fontId="1" numFmtId="0" xfId="0" applyAlignment="1" applyBorder="1" applyFill="1" applyFont="1">
      <alignment readingOrder="0" vertical="top"/>
    </xf>
    <xf borderId="34" fillId="0" fontId="15" numFmtId="0" xfId="0" applyAlignment="1" applyBorder="1" applyFont="1">
      <alignment shrinkToFit="0" vertical="bottom" wrapText="1"/>
    </xf>
    <xf borderId="34" fillId="0" fontId="15" numFmtId="226" xfId="0" applyAlignment="1" applyBorder="1" applyFont="1" applyNumberFormat="1">
      <alignment horizontal="right" shrinkToFit="0" vertical="bottom" wrapText="1"/>
    </xf>
    <xf borderId="34" fillId="0" fontId="15" numFmtId="0" xfId="0" applyAlignment="1" applyBorder="1" applyFont="1">
      <alignment horizontal="right" shrinkToFit="0" vertical="bottom" wrapText="1"/>
    </xf>
    <xf borderId="35" fillId="5" fontId="1" numFmtId="0" xfId="0" applyAlignment="1" applyBorder="1" applyFill="1" applyFont="1">
      <alignment readingOrder="0" vertical="top"/>
    </xf>
    <xf borderId="1" fillId="5" fontId="1" numFmtId="333" xfId="0" applyAlignment="1" applyBorder="1" applyFill="1" applyFont="1" applyNumberFormat="1">
      <alignment horizontal="right" readingOrder="0" vertical="top"/>
    </xf>
    <xf borderId="1" fillId="0" fontId="15" numFmtId="0" xfId="0" applyAlignment="1" applyBorder="1" applyFont="1">
      <alignment shrinkToFit="0" vertical="bottom" wrapText="1"/>
    </xf>
    <xf borderId="1" fillId="0" fontId="15" numFmtId="226" xfId="0" applyAlignment="1" applyBorder="1" applyFont="1" applyNumberFormat="1">
      <alignment horizontal="right" shrinkToFit="0" vertical="bottom" wrapText="1"/>
    </xf>
    <xf borderId="0" fillId="4" fontId="2" numFmtId="0" xfId="0" applyFill="1" applyFont="1"/>
    <xf borderId="1" fillId="5" fontId="1" numFmtId="334" xfId="0" applyAlignment="1" applyBorder="1" applyFill="1" applyFont="1" applyNumberFormat="1">
      <alignment horizontal="right" readingOrder="0" vertical="top"/>
    </xf>
    <xf borderId="34" fillId="0" fontId="15" numFmtId="0" xfId="0" applyAlignment="1" applyBorder="1" applyFont="1">
      <alignment horizontal="right" shrinkToFit="0" vertical="bottom" wrapText="1"/>
    </xf>
    <xf borderId="1" fillId="0" fontId="15" numFmtId="0" xfId="0" applyAlignment="1" applyBorder="1" applyFont="1">
      <alignment horizontal="right" shrinkToFit="0" vertical="bottom" wrapText="1"/>
    </xf>
    <xf borderId="9" fillId="14" fontId="8" numFmtId="0" xfId="0" applyAlignment="1" applyBorder="1" applyFill="1" applyFont="1">
      <alignment horizontal="left" readingOrder="0" shrinkToFit="0" vertical="bottom" wrapText="0"/>
    </xf>
    <xf borderId="1" fillId="14" fontId="8" numFmtId="333" xfId="0" applyAlignment="1" applyBorder="1" applyFill="1" applyFont="1" applyNumberFormat="1">
      <alignment horizontal="left" readingOrder="0" shrinkToFit="0" vertical="bottom" wrapText="0"/>
    </xf>
    <xf borderId="1" fillId="14" fontId="8" numFmtId="0" xfId="0" applyAlignment="1" applyBorder="1" applyFill="1" applyFont="1">
      <alignment horizontal="left" readingOrder="0" shrinkToFit="0" vertical="bottom" wrapText="0"/>
    </xf>
    <xf borderId="28" fillId="14" fontId="8" numFmtId="334" xfId="0" applyAlignment="1" applyBorder="1" applyFill="1" applyFont="1" applyNumberFormat="1">
      <alignment horizontal="left" readingOrder="0" shrinkToFit="0" vertical="bottom" wrapText="0"/>
    </xf>
    <xf borderId="1" fillId="14" fontId="8" numFmtId="332" xfId="0" applyAlignment="1" applyBorder="1" applyFill="1" applyFont="1" applyNumberFormat="1">
      <alignment horizontal="left" readingOrder="0" shrinkToFit="0" vertical="bottom" wrapText="0"/>
    </xf>
    <xf borderId="1" fillId="0" fontId="8" numFmtId="333" xfId="0" applyAlignment="1" applyBorder="1" applyFont="1" applyNumberFormat="1">
      <alignment horizontal="left" readingOrder="0" shrinkToFit="0" vertical="bottom" wrapText="0"/>
    </xf>
    <xf borderId="1" fillId="11" fontId="10" numFmtId="0" xfId="0" applyAlignment="1" applyBorder="1" applyFill="1" applyFont="1">
      <alignment horizontal="left" readingOrder="0" shrinkToFit="0" vertical="bottom" wrapText="0"/>
    </xf>
    <xf borderId="1" fillId="11" fontId="10" numFmtId="0" xfId="0" applyAlignment="1" applyBorder="1" applyFill="1" applyFont="1">
      <alignment horizontal="left" shrinkToFit="0" vertical="bottom" wrapText="0"/>
    </xf>
    <xf borderId="0" fillId="3" fontId="16" numFmtId="0" xfId="0" applyAlignment="1" applyFill="1" applyFont="1">
      <alignment readingOrder="0"/>
    </xf>
    <xf borderId="0" fillId="3" fontId="17" numFmtId="0" xfId="0" applyAlignment="1" applyFill="1" applyFont="1">
      <alignment readingOrder="0"/>
    </xf>
    <xf borderId="1" fillId="11" fontId="10" numFmtId="0" xfId="0" applyAlignment="1" applyBorder="1" applyFill="1" applyFont="1">
      <alignment horizontal="right" readingOrder="0" shrinkToFit="0" vertical="bottom" wrapText="0"/>
    </xf>
    <xf borderId="0" fillId="0" fontId="18" numFmtId="0" xfId="0" applyAlignment="1" applyFont="1">
      <alignment readingOrder="0"/>
    </xf>
    <xf borderId="0" fillId="3" fontId="19" numFmtId="0" xfId="0" applyFill="1" applyFont="1"/>
    <xf borderId="1" fillId="0" fontId="10" numFmtId="10" xfId="0" applyAlignment="1" applyBorder="1" applyFont="1" applyNumberFormat="1">
      <alignment horizontal="right" readingOrder="0" shrinkToFit="0" vertical="bottom" wrapText="0"/>
    </xf>
    <xf borderId="1" fillId="3" fontId="19" numFmtId="0" xfId="0" applyBorder="1" applyFill="1" applyFont="1"/>
    <xf borderId="0" fillId="0" fontId="10" numFmtId="0" xfId="0" applyAlignment="1" applyFont="1">
      <alignment horizontal="left" shrinkToFit="0" vertical="bottom" wrapText="0"/>
    </xf>
    <xf borderId="1" fillId="0" fontId="2" numFmtId="4" xfId="0" applyAlignment="1" applyBorder="1" applyFont="1" applyNumberFormat="1">
      <alignment readingOrder="0"/>
    </xf>
    <xf borderId="0" fillId="2" fontId="2" numFmtId="0" xfId="0" applyFill="1" applyFont="1"/>
    <xf borderId="0" fillId="0" fontId="8" numFmtId="0" xfId="0" applyAlignment="1" applyFont="1">
      <alignment horizontal="left" shrinkToFit="0" vertical="bottom" wrapText="0"/>
    </xf>
    <xf borderId="9" fillId="0" fontId="5" numFmtId="0" xfId="0" applyAlignment="1" applyBorder="1" applyFont="1">
      <alignment horizontal="left" shrinkToFit="0" vertical="bottom" wrapText="0"/>
    </xf>
    <xf borderId="9" fillId="0" fontId="20" numFmtId="0" xfId="0" applyAlignment="1" applyBorder="1" applyFont="1">
      <alignment horizontal="center" readingOrder="0"/>
    </xf>
    <xf borderId="1" fillId="0" fontId="20" numFmtId="0" xfId="0" applyAlignment="1" applyBorder="1" applyFont="1">
      <alignment horizontal="center"/>
    </xf>
    <xf borderId="1" fillId="0" fontId="20" numFmtId="0" xfId="0" applyAlignment="1" applyBorder="1" applyFont="1">
      <alignment readingOrder="0"/>
    </xf>
    <xf borderId="1" fillId="0" fontId="20" numFmtId="0" xfId="0" applyAlignment="1" applyBorder="1" applyFont="1">
      <alignment horizontal="center" readingOrder="0"/>
    </xf>
    <xf borderId="1" fillId="0" fontId="20" numFmtId="0" xfId="0" applyBorder="1" applyFont="1"/>
    <xf borderId="12" fillId="0" fontId="20" numFmtId="0" xfId="0" applyAlignment="1" applyBorder="1" applyFont="1">
      <alignment readingOrder="0"/>
    </xf>
    <xf borderId="12" fillId="0" fontId="2" numFmtId="0" xfId="0" applyBorder="1" applyFont="1"/>
    <xf borderId="12" fillId="0" fontId="2" numFmtId="0" xfId="0" applyAlignment="1" applyBorder="1" applyFont="1">
      <alignment readingOrder="0"/>
    </xf>
    <xf borderId="37" fillId="0" fontId="2" numFmtId="0" xfId="0" applyBorder="1" applyFont="1"/>
    <xf borderId="12" fillId="0" fontId="20" numFmtId="0" xfId="0" applyBorder="1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color rgb="FF008000"/>
      </font>
      <fill>
        <patternFill patternType="none"/>
      </fill>
      <border/>
    </dxf>
    <dxf>
      <font>
        <color rgb="FF800080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3" pivot="0" name="Инфо20-06.Себестоимость от прод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636" sheet="Помесячно Заполнить ответственн"/>
  </cacheSource>
  <cacheFields>
    <cacheField name="0" numFmtId="0">
      <sharedItems containsBlank="1">
        <s v="01.1.Выручка от продаж разработки"/>
        <s v="01.2.Выручка от продаж разработки"/>
        <s v="02.1.Выручка сервера"/>
        <s v="03.1.Выручка коробки"/>
        <s v="04.1.Выручка поддержка"/>
        <s v="05.1.Выручка продукты"/>
        <s v="06.Себестоимость от продаж"/>
        <s v="07.Себестоимость коробки"/>
        <s v="08.Простой"/>
        <s v="09.Оплата попадосов"/>
        <s v="10.Выплата заработной платы разработка"/>
        <s v="11.Оплата аналитики"/>
        <s v="12.Откат ментам"/>
        <s v="13.Бонус отдела продаж"/>
        <s v="14.Выплата заработной платы(Операционные)"/>
        <s v="15.Выплата заработной платы(Развитие)"/>
        <s v="16.Маркетинг"/>
        <s v="17.RND"/>
        <s v="18.Налоги"/>
        <s v="19.Аренда серверов"/>
        <s v="20.Транспорт"/>
        <s v="21.Аренда офиса"/>
        <s v="22.Связь"/>
        <s v="23.Офис"/>
        <s v="24.Выплата заработной платы(Коммерческие)"/>
        <s v="25.Комисии"/>
        <s v="25.Обучение"/>
        <s v="26.Налоги ЗП"/>
        <s v="06.Себестоимость от продаж разработки"/>
        <s v="07.Себестоимость от продаж ОП"/>
        <m/>
      </sharedItems>
    </cacheField>
    <cacheField name="Ответственный" numFmtId="0">
      <sharedItems containsBlank="1">
        <s v="Макшанова Л.М."/>
        <s v="Сысоев В.С."/>
        <s v="Павлова Д.И."/>
        <s v="Львов С.А."/>
        <s v="Гатих П.С."/>
        <m/>
      </sharedItems>
    </cacheField>
    <cacheField name="Месяц" numFmtId="0">
      <sharedItems containsBlank="1">
        <s v="01.Январь"/>
        <s v="02.Февраль"/>
        <s v="03.Март"/>
        <s v="04.Апрель"/>
        <s v="05.Май"/>
        <s v="06.Июнь"/>
        <s v="07.Июль"/>
        <s v="08.Август"/>
        <s v="09.Сентябрь"/>
        <s v="10.Октябрь"/>
        <s v="11.Ноябрь"/>
        <s v="12.Декабрь"/>
        <m/>
      </sharedItems>
    </cacheField>
    <cacheField name="Квартал" numFmtId="0">
      <sharedItems containsString="0" containsBlank="1" containsNumber="1" containsInteger="1">
        <n v="1.0"/>
        <n v="2.0"/>
        <n v="3.0"/>
        <n v="4.0"/>
        <m/>
      </sharedItems>
    </cacheField>
    <cacheField name="План" numFmtId="0">
      <sharedItems containsString="0" containsBlank="1" containsNumber="1">
        <n v="0.0"/>
        <n v="1927665.0"/>
        <n v="20000.0"/>
        <n v="71800.0"/>
        <n v="83400.0"/>
        <n v="53100.0"/>
        <n v="-674682.75"/>
        <n v="-35900.0"/>
        <n v="-250000.0"/>
        <n v="-50000.0"/>
        <n v="-119740.0"/>
        <n v="-111020.0"/>
        <n v="-333333.33"/>
        <n v="-20000.0"/>
        <n v="-130000.0"/>
        <n v="-320000.0"/>
        <n v="-300000.0"/>
        <n v="-5834.0"/>
        <n v="-4100.0"/>
        <n v="-87000.0"/>
        <n v="-17000.0"/>
        <n v="-41660.0"/>
        <n v="-345000.0"/>
        <n v="-8300.0"/>
        <m/>
        <n v="182820.0"/>
        <n v="25600.0"/>
        <n v="221400.0"/>
        <n v="38000.0"/>
        <n v="123900.0"/>
        <n v="-941786.9999999999"/>
        <n v="-110700.0"/>
        <n v="-150000.0"/>
        <n v="-100000.0"/>
        <n v="-42180.0"/>
        <n v="-152000.0"/>
        <n v="-33333.3333333333"/>
        <n v="-123000.0"/>
        <n v="-375000.0"/>
        <n v="-23800.0"/>
        <n v="2508000.0"/>
        <n v="707750.0"/>
        <n v="32000.0"/>
        <n v="164000.0"/>
        <n v="223900.0"/>
        <n v="-1334112.5"/>
        <n v="-82000.0"/>
        <n v="-70000.0"/>
        <n v="-188121.21212121213"/>
        <n v="3104000.0"/>
        <n v="608000.0"/>
        <n v="100000.0"/>
        <n v="97650.0"/>
        <n v="-1310050.0"/>
        <n v="-190000.0"/>
        <n v="-170000.0"/>
        <n v="-400000.0"/>
        <n v="3135000.0"/>
        <n v="342000.0"/>
        <n v="50000.0"/>
        <n v="57000.0"/>
        <n v="61950.0"/>
        <n v="-928199.9999999999"/>
        <n v="-25000.0"/>
        <n v="-413300.0"/>
        <n v="-132000.0"/>
        <n v="2310000.0"/>
        <n v="418000.0"/>
        <n v="259600.0"/>
        <n v="-1651300.0"/>
        <n v="-450000.0"/>
        <n v="-245714.2857142857"/>
        <n v="4300000.0"/>
        <n v="456000.0"/>
        <n v="215000.0"/>
        <n v="159600.0"/>
        <n v="-1260700.0"/>
        <n v="-107500.0"/>
        <n v="-102180.0"/>
        <n v="-179771.42857142858"/>
        <n v="-200000.0"/>
        <n v="-116660.0"/>
        <n v="3146000.0"/>
        <n v="532000.0"/>
        <n v="38400.0"/>
        <n v="160000.0"/>
        <n v="-1325100.0"/>
        <n v="-80000.0"/>
        <n v="-171263.15789473685"/>
        <n v="3254000.0"/>
        <n v="-1551200.0"/>
        <n v="-201263.15789473685"/>
        <n v="3824000.0"/>
        <n v="722000.0"/>
        <n v="-1681750.0"/>
        <n v="-30000.0"/>
        <n v="-214894.73684210525"/>
        <n v="4083000.0"/>
        <n v="756200.0"/>
        <n v="155000.0"/>
        <n v="285850.0"/>
        <n v="-1838269.9999999998"/>
        <n v="-77500.0"/>
        <n v="-236631.57894736843"/>
        <n v="4496000.0"/>
        <n v="798000.0"/>
        <n v="309750.0"/>
        <n v="-2012499.9999999998"/>
        <n v="-260631.57894736843"/>
        <n v="-4900.0"/>
        <n v="4952000.0"/>
      </sharedItems>
    </cacheField>
    <cacheField name="Факт" numFmtId="0">
      <sharedItems containsString="0" containsBlank="1" containsNumber="1">
        <m/>
        <n v="1927665.0"/>
        <n v="20000.0"/>
        <n v="71800.0"/>
        <n v="83400.0"/>
        <n v="53100.0"/>
        <n v="-554535.54"/>
        <n v="-34865.0"/>
        <n v="-408840.0"/>
        <n v="-50000.0"/>
        <n v="-119740.0"/>
        <n v="-111020.0"/>
        <n v="-100340.0"/>
        <n v="0.0"/>
        <n v="-130000.0"/>
        <n v="-212500.0"/>
        <n v="-150000.0"/>
        <n v="-5225.0"/>
        <n v="-86536.0"/>
        <n v="-12333.61"/>
        <n v="-106803.0"/>
        <n v="-325000.0"/>
        <n v="-23800.0"/>
        <n v="-385000.0"/>
        <n v="19200.0"/>
        <n v="57600.0"/>
        <n v="-679260.02"/>
        <n v="-185100.0"/>
        <n v="-74100.0"/>
        <n v="-119500.0"/>
        <n v="-137040.0"/>
        <n v="-147150.0"/>
        <n v="-261850.0"/>
        <n v="-170000.0"/>
        <n v="-135307.42"/>
        <n v="-24233.0"/>
        <n v="-37016.81"/>
        <n v="-365000.0"/>
        <n v="-25500.0"/>
        <n v="2376135.0"/>
        <n v="4185030.0"/>
        <n v="24200.0"/>
        <n v="114000.0"/>
        <n v="81000.0"/>
        <n v="-1175599.99"/>
        <n v="-276120.0"/>
        <n v="-66800.0"/>
        <n v="-120720.0"/>
        <n v="-250440.0"/>
        <n v="-359050.0"/>
        <n v="-18500.0"/>
        <n v="-230350.0"/>
        <n v="-5325.0"/>
        <n v="-15600.0"/>
        <n v="-53287.0"/>
        <n v="-14325.0"/>
        <n v="-405000.0"/>
        <n v="31500.0"/>
        <n v="14700.0"/>
        <n v="54000.0"/>
        <n v="48657.0"/>
        <n v="-1265803.99"/>
        <n v="-7500.0"/>
        <n v="-72320.0"/>
        <n v="-136400.0"/>
        <n v="-275468.0"/>
        <n v="-265800.0"/>
        <n v="-391800.0"/>
        <n v="-305400.0"/>
        <n v="-5834.0"/>
        <n v="-5960.35"/>
        <n v="-18312.9"/>
        <n v="-28105.0"/>
        <n v="-16376.41"/>
        <n v="-63000.0"/>
        <n v="-415000.0"/>
        <n v="4500030.0"/>
        <n v="110690.0"/>
        <n v="92730.0"/>
        <n v="238360.0"/>
        <n v="91230.0"/>
        <n v="-1437760.02"/>
        <n v="-69150.0"/>
        <n v="-123800.0"/>
        <n v="-71500.0"/>
        <n v="-413300.0"/>
        <n v="-322020.0"/>
        <n v="-676000.0"/>
        <n v="-92550.0"/>
        <n v="-257700.0"/>
        <n v="-200000.0"/>
        <n v="-2024.4"/>
        <n v="-135300.0"/>
        <n v="-28264.0"/>
        <n v="-14540.0"/>
        <n v="5469920.0"/>
        <n v="149625.0"/>
        <n v="25600.0"/>
        <n v="11925.0"/>
        <n v="48600.0"/>
        <n v="-1160120.21"/>
        <n v="-41943.85"/>
        <n v="-160000.0"/>
        <n v="-256400.0"/>
        <n v="-94660.0"/>
        <n v="-258700.0"/>
        <n v="-439800.0"/>
        <n v="-47720.0"/>
        <n v="-247700.0"/>
        <n v="-15000.0"/>
        <n v="-16500.0"/>
        <n v="-23965.0"/>
        <n v="-18598.0"/>
        <n v="4718575.0"/>
        <n v="517865.0"/>
        <n v="130755.0"/>
        <n v="63150.0"/>
        <n v="-1271586.22"/>
        <n v="-84590.99"/>
        <n v="-22200.0"/>
        <n v="-61950.0"/>
        <n v="-89100.0"/>
        <n v="-271440.0"/>
        <n v="-543550.0"/>
        <n v="-55500.0"/>
        <n v="-261450.0"/>
        <n v="-114080.0"/>
        <n v="-2780.0"/>
        <n v="-23975.0"/>
        <n v="-13084.0"/>
        <n v="-4100.0"/>
        <n v="4399920.0"/>
      </sharedItems>
    </cacheField>
    <cacheField name="Комментарий" numFmtId="0">
      <sharedItems containsBlank="1">
        <m/>
        <s v="Добавила 50000 от ПИ на РНД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337" sheet="Помесячно Заполнить ответственн"/>
  </cacheSource>
  <cacheFields>
    <cacheField name="0" numFmtId="0">
      <sharedItems>
        <s v="01.1.Выручка от продаж разработки"/>
        <s v="01.2.Выручка от продаж разработки"/>
        <s v="02.1.Выручка сервера"/>
        <s v="03.1.Выручка коробки"/>
        <s v="04.1.Выручка поддержка"/>
        <s v="05.1.Выручка продукты"/>
        <s v="06.Себестоимость от продаж"/>
        <s v="07.Себестоимость коробки"/>
        <s v="08.Простой"/>
        <s v="09.Оплата попадосов"/>
        <s v="10.Выплата заработной платы разработка"/>
        <s v="11.Оплата аналитики"/>
        <s v="12.Откат ментам"/>
        <s v="13.Бонус отдела продаж"/>
        <s v="14.Выплата заработной платы(Операционные)"/>
        <s v="15.Выплата заработной платы(Развитие)"/>
        <s v="16.Маркетинг"/>
        <s v="17.RND"/>
        <s v="18.Налоги"/>
        <s v="19.Аренда серверов"/>
        <s v="20.Транспорт"/>
        <s v="21.Аренда офиса"/>
        <s v="22.Связь"/>
        <s v="23.Офис"/>
        <s v="24.Выплата заработной платы(Коммерческие)"/>
        <s v="25.Комисии"/>
        <s v="25.Обучение"/>
        <s v="26.Налоги ЗП"/>
        <s v="06.Себестоимость от продаж разработки"/>
        <s v="07.Себестоимость от продаж ОП"/>
      </sharedItems>
    </cacheField>
    <cacheField name="Ответственный" numFmtId="0">
      <sharedItems>
        <s v="Макшанова Л.М."/>
        <s v="Сысоев В.С."/>
        <s v="Павлова Д.И."/>
        <s v="Львов С.А."/>
        <s v="Гатих П.С."/>
      </sharedItems>
    </cacheField>
    <cacheField name="Месяц" numFmtId="0">
      <sharedItems>
        <s v="01.Январь"/>
        <s v="02.Февраль"/>
        <s v="03.Март"/>
        <s v="04.Апрель"/>
        <s v="05.Май"/>
        <s v="06.Июнь"/>
        <s v="07.Июль"/>
        <s v="08.Август"/>
        <s v="09.Сентябрь"/>
        <s v="10.Октябрь"/>
        <s v="11.Ноябрь"/>
        <s v="12.Декабрь"/>
      </sharedItems>
    </cacheField>
    <cacheField name="Квартал" numFmtId="0">
      <sharedItems containsSemiMixedTypes="0" containsString="0" containsNumber="1" containsInteger="1">
        <n v="1.0"/>
        <n v="2.0"/>
        <n v="3.0"/>
        <n v="4.0"/>
      </sharedItems>
    </cacheField>
    <cacheField name="План" numFmtId="0">
      <sharedItems containsString="0" containsBlank="1" containsNumber="1">
        <n v="0.0"/>
        <n v="1927665.0"/>
        <n v="20000.0"/>
        <n v="71800.0"/>
        <n v="83400.0"/>
        <n v="53100.0"/>
        <n v="-674682.75"/>
        <n v="-35900.0"/>
        <n v="-250000.0"/>
        <n v="-50000.0"/>
        <n v="-119740.0"/>
        <n v="-111020.0"/>
        <n v="-333333.33"/>
        <n v="-20000.0"/>
        <n v="-130000.0"/>
        <n v="-320000.0"/>
        <n v="-300000.0"/>
        <n v="-5834.0"/>
        <n v="-4100.0"/>
        <n v="-87000.0"/>
        <n v="-17000.0"/>
        <n v="-41660.0"/>
        <n v="-345000.0"/>
        <n v="-8300.0"/>
        <m/>
        <n v="182820.0"/>
        <n v="25600.0"/>
        <n v="221400.0"/>
        <n v="38000.0"/>
        <n v="123900.0"/>
        <n v="-941786.9999999999"/>
        <n v="-110700.0"/>
        <n v="-150000.0"/>
        <n v="-100000.0"/>
        <n v="-42180.0"/>
        <n v="-152000.0"/>
        <n v="-33333.3333333333"/>
        <n v="-123000.0"/>
        <n v="-375000.0"/>
        <n v="-23800.0"/>
        <n v="2508000.0"/>
        <n v="707750.0"/>
        <n v="32000.0"/>
        <n v="164000.0"/>
        <n v="223900.0"/>
        <n v="-1334112.5"/>
        <n v="-82000.0"/>
        <n v="-70000.0"/>
        <n v="-188121.21212121213"/>
        <n v="3104000.0"/>
        <n v="608000.0"/>
        <n v="100000.0"/>
        <n v="97650.0"/>
        <n v="-1310050.0"/>
        <n v="-190000.0"/>
        <n v="-170000.0"/>
        <n v="-400000.0"/>
        <n v="3135000.0"/>
        <n v="342000.0"/>
        <n v="50000.0"/>
        <n v="57000.0"/>
        <n v="61950.0"/>
        <n v="-928199.9999999999"/>
        <n v="-25000.0"/>
        <n v="-413300.0"/>
        <n v="-132000.0"/>
        <n v="2310000.0"/>
        <n v="418000.0"/>
        <n v="259600.0"/>
        <n v="-1651300.0"/>
        <n v="-450000.0"/>
        <n v="-245714.2857142857"/>
        <n v="4300000.0"/>
        <n v="456000.0"/>
        <n v="215000.0"/>
        <n v="159600.0"/>
        <n v="-1260700.0"/>
        <n v="-107500.0"/>
        <n v="-102180.0"/>
        <n v="-179771.42857142858"/>
        <n v="-200000.0"/>
        <n v="-116660.0"/>
        <n v="3146000.0"/>
        <n v="532000.0"/>
        <n v="38400.0"/>
        <n v="160000.0"/>
        <n v="-1325100.0"/>
        <n v="-80000.0"/>
        <n v="-171263.15789473685"/>
        <n v="3254000.0"/>
        <n v="-1551200.0"/>
        <n v="-201263.15789473685"/>
        <n v="3824000.0"/>
        <n v="722000.0"/>
        <n v="-1681750.0"/>
        <n v="-30000.0"/>
        <n v="-214894.73684210525"/>
        <n v="4083000.0"/>
        <n v="756200.0"/>
        <n v="155000.0"/>
        <n v="285850.0"/>
        <n v="-1838269.9999999998"/>
        <n v="-77500.0"/>
        <n v="-236631.57894736843"/>
        <n v="4496000.0"/>
        <n v="798000.0"/>
        <n v="309750.0"/>
        <n v="-2012499.9999999998"/>
        <n v="-260631.57894736843"/>
        <n v="-4900.0"/>
        <n v="4952000.0"/>
      </sharedItems>
    </cacheField>
    <cacheField name="Факт" numFmtId="0">
      <sharedItems containsString="0" containsBlank="1" containsNumber="1">
        <m/>
        <n v="1927665.0"/>
        <n v="20000.0"/>
        <n v="71800.0"/>
        <n v="83400.0"/>
        <n v="53100.0"/>
        <n v="-554535.54"/>
        <n v="-34865.0"/>
        <n v="-408840.0"/>
        <n v="-50000.0"/>
        <n v="-119740.0"/>
        <n v="-111020.0"/>
        <n v="-100340.0"/>
        <n v="0.0"/>
        <n v="-130000.0"/>
        <n v="-212500.0"/>
        <n v="-150000.0"/>
        <n v="-5225.0"/>
        <n v="-86536.0"/>
        <n v="-12333.61"/>
        <n v="-106803.0"/>
        <n v="-325000.0"/>
        <n v="-23800.0"/>
        <n v="-385000.0"/>
        <n v="19200.0"/>
        <n v="57600.0"/>
        <n v="-679260.02"/>
        <n v="-185100.0"/>
        <n v="-74100.0"/>
        <n v="-119500.0"/>
        <n v="-137040.0"/>
        <n v="-147150.0"/>
        <n v="-261850.0"/>
        <n v="-170000.0"/>
        <n v="-135307.42"/>
        <n v="-24233.0"/>
        <n v="-37016.81"/>
        <n v="-365000.0"/>
        <n v="-25500.0"/>
        <n v="2376135.0"/>
        <n v="4185030.0"/>
        <n v="24200.0"/>
        <n v="114000.0"/>
        <n v="81000.0"/>
        <n v="-1175599.99"/>
        <n v="-276120.0"/>
        <n v="-66800.0"/>
        <n v="-120720.0"/>
        <n v="-250440.0"/>
        <n v="-359050.0"/>
        <n v="-18500.0"/>
        <n v="-230350.0"/>
        <n v="-5325.0"/>
        <n v="-15600.0"/>
        <n v="-53287.0"/>
        <n v="-14325.0"/>
        <n v="-405000.0"/>
        <n v="31500.0"/>
        <n v="14700.0"/>
        <n v="54000.0"/>
        <n v="48657.0"/>
        <n v="-1265803.99"/>
        <n v="-7500.0"/>
        <n v="-72320.0"/>
        <n v="-136400.0"/>
        <n v="-275468.0"/>
        <n v="-265800.0"/>
        <n v="-391800.0"/>
        <n v="-305400.0"/>
        <n v="-5834.0"/>
        <n v="-5960.35"/>
        <n v="-18312.9"/>
        <n v="-28105.0"/>
        <n v="-16376.41"/>
        <n v="-63000.0"/>
        <n v="-415000.0"/>
        <n v="4500030.0"/>
        <n v="110690.0"/>
        <n v="92730.0"/>
        <n v="238360.0"/>
        <n v="91230.0"/>
        <n v="-1437760.02"/>
        <n v="-69150.0"/>
        <n v="-123800.0"/>
        <n v="-71500.0"/>
        <n v="-413300.0"/>
        <n v="-322020.0"/>
        <n v="-676000.0"/>
        <n v="-92550.0"/>
        <n v="-257700.0"/>
        <n v="-200000.0"/>
        <n v="-2024.4"/>
        <n v="-135300.0"/>
        <n v="-28264.0"/>
        <n v="-14540.0"/>
        <n v="5469920.0"/>
        <n v="149625.0"/>
        <n v="25600.0"/>
        <n v="11925.0"/>
        <n v="48600.0"/>
        <n v="-1160120.21"/>
        <n v="-41943.85"/>
        <n v="-160000.0"/>
        <n v="-256400.0"/>
        <n v="-94660.0"/>
        <n v="-258700.0"/>
        <n v="-439800.0"/>
        <n v="-47720.0"/>
        <n v="-247700.0"/>
        <n v="-15000.0"/>
        <n v="-16500.0"/>
        <n v="-23965.0"/>
        <n v="-18598.0"/>
        <n v="4718575.0"/>
        <n v="517865.0"/>
        <n v="130755.0"/>
        <n v="63150.0"/>
        <n v="-1271586.22"/>
        <n v="-84590.99"/>
        <n v="-22200.0"/>
        <n v="-61950.0"/>
        <n v="-89100.0"/>
        <n v="-271440.0"/>
        <n v="-543550.0"/>
        <n v="-55500.0"/>
        <n v="-261450.0"/>
        <n v="-114080.0"/>
        <n v="-2780.0"/>
        <n v="-23975.0"/>
        <n v="-13084.0"/>
        <n v="-4100.0"/>
        <n v="4399920.0"/>
      </sharedItems>
    </cacheField>
    <cacheField name="Комментарий" numFmtId="0">
      <sharedItems containsBlank="1">
        <m/>
        <s v="Добавила 50000 от ПИ на РНД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336" sheet="Помесячно Заполнить ответственн"/>
  </cacheSource>
  <cacheFields>
    <cacheField name="0" numFmtId="0">
      <sharedItems>
        <s v="01.1.Выручка от продаж разработки"/>
        <s v="01.2.Выручка от продаж разработки"/>
        <s v="02.1.Выручка сервера"/>
        <s v="03.1.Выручка коробки"/>
        <s v="04.1.Выручка поддержка"/>
        <s v="05.1.Выручка продукты"/>
        <s v="06.Себестоимость от продаж"/>
        <s v="07.Себестоимость коробки"/>
        <s v="08.Простой"/>
        <s v="09.Оплата попадосов"/>
        <s v="10.Выплата заработной платы разработка"/>
        <s v="11.Оплата аналитики"/>
        <s v="12.Откат ментам"/>
        <s v="13.Бонус отдела продаж"/>
        <s v="14.Выплата заработной платы(Операционные)"/>
        <s v="15.Выплата заработной платы(Развитие)"/>
        <s v="16.Маркетинг"/>
        <s v="17.RND"/>
        <s v="18.Налоги"/>
        <s v="19.Аренда серверов"/>
        <s v="20.Транспорт"/>
        <s v="21.Аренда офиса"/>
        <s v="22.Связь"/>
        <s v="23.Офис"/>
        <s v="24.Выплата заработной платы(Коммерческие)"/>
        <s v="25.Комисии"/>
        <s v="25.Обучение"/>
        <s v="26.Налоги ЗП"/>
        <s v="06.Себестоимость от продаж разработки"/>
        <s v="07.Себестоимость от продаж ОП"/>
      </sharedItems>
    </cacheField>
    <cacheField name="Ответственный" numFmtId="0">
      <sharedItems>
        <s v="Макшанова Л.М."/>
        <s v="Сысоев В.С."/>
        <s v="Павлова Д.И."/>
        <s v="Львов С.А."/>
        <s v="Гатих П.С."/>
      </sharedItems>
    </cacheField>
    <cacheField name="Месяц" numFmtId="0">
      <sharedItems>
        <s v="01.Январь"/>
        <s v="02.Февраль"/>
        <s v="03.Март"/>
        <s v="04.Апрель"/>
        <s v="05.Май"/>
        <s v="06.Июнь"/>
        <s v="07.Июль"/>
        <s v="08.Август"/>
        <s v="09.Сентябрь"/>
        <s v="10.Октябрь"/>
        <s v="11.Ноябрь"/>
        <s v="12.Декабрь"/>
      </sharedItems>
    </cacheField>
    <cacheField name="Квартал" numFmtId="0">
      <sharedItems containsSemiMixedTypes="0" containsString="0" containsNumber="1" containsInteger="1">
        <n v="1.0"/>
        <n v="2.0"/>
        <n v="3.0"/>
        <n v="4.0"/>
      </sharedItems>
    </cacheField>
    <cacheField name="План" numFmtId="0">
      <sharedItems containsString="0" containsBlank="1" containsNumber="1">
        <n v="0.0"/>
        <n v="1927665.0"/>
        <n v="20000.0"/>
        <n v="71800.0"/>
        <n v="83400.0"/>
        <n v="53100.0"/>
        <n v="-674682.75"/>
        <n v="-35900.0"/>
        <n v="-250000.0"/>
        <n v="-50000.0"/>
        <n v="-119740.0"/>
        <n v="-111020.0"/>
        <n v="-333333.33"/>
        <n v="-20000.0"/>
        <n v="-130000.0"/>
        <n v="-320000.0"/>
        <n v="-300000.0"/>
        <n v="-5834.0"/>
        <n v="-4100.0"/>
        <n v="-87000.0"/>
        <n v="-17000.0"/>
        <n v="-41660.0"/>
        <n v="-345000.0"/>
        <n v="-8300.0"/>
        <m/>
        <n v="182820.0"/>
        <n v="25600.0"/>
        <n v="221400.0"/>
        <n v="38000.0"/>
        <n v="123900.0"/>
        <n v="-941786.9999999999"/>
        <n v="-110700.0"/>
        <n v="-150000.0"/>
        <n v="-100000.0"/>
        <n v="-42180.0"/>
        <n v="-152000.0"/>
        <n v="-33333.3333333333"/>
        <n v="-123000.0"/>
        <n v="-375000.0"/>
        <n v="-23800.0"/>
        <n v="2508000.0"/>
        <n v="707750.0"/>
        <n v="32000.0"/>
        <n v="164000.0"/>
        <n v="223900.0"/>
        <n v="-1334112.5"/>
        <n v="-82000.0"/>
        <n v="-70000.0"/>
        <n v="-188121.21212121213"/>
        <n v="3104000.0"/>
        <n v="608000.0"/>
        <n v="100000.0"/>
        <n v="97650.0"/>
        <n v="-1310050.0"/>
        <n v="-190000.0"/>
        <n v="-170000.0"/>
        <n v="-400000.0"/>
        <n v="3135000.0"/>
        <n v="342000.0"/>
        <n v="50000.0"/>
        <n v="57000.0"/>
        <n v="61950.0"/>
        <n v="-928199.9999999999"/>
        <n v="-25000.0"/>
        <n v="-413300.0"/>
        <n v="-132000.0"/>
        <n v="2310000.0"/>
        <n v="418000.0"/>
        <n v="259600.0"/>
        <n v="-1651300.0"/>
        <n v="-450000.0"/>
        <n v="-245714.2857142857"/>
        <n v="4300000.0"/>
        <n v="456000.0"/>
        <n v="215000.0"/>
        <n v="159600.0"/>
        <n v="-1260700.0"/>
        <n v="-107500.0"/>
        <n v="-102180.0"/>
        <n v="-179771.42857142858"/>
        <n v="-200000.0"/>
        <n v="-116660.0"/>
        <n v="3146000.0"/>
        <n v="532000.0"/>
        <n v="38400.0"/>
        <n v="160000.0"/>
        <n v="-1325100.0"/>
        <n v="-80000.0"/>
        <n v="-171263.15789473685"/>
        <n v="3254000.0"/>
        <n v="-1551200.0"/>
        <n v="-201263.15789473685"/>
        <n v="3824000.0"/>
        <n v="722000.0"/>
        <n v="-1681750.0"/>
        <n v="-30000.0"/>
        <n v="-214894.73684210525"/>
        <n v="4083000.0"/>
        <n v="756200.0"/>
        <n v="155000.0"/>
        <n v="285850.0"/>
        <n v="-1838269.9999999998"/>
        <n v="-77500.0"/>
        <n v="-236631.57894736843"/>
        <n v="4496000.0"/>
        <n v="798000.0"/>
        <n v="309750.0"/>
        <n v="-2012499.9999999998"/>
        <n v="-260631.57894736843"/>
        <n v="-4900.0"/>
      </sharedItems>
    </cacheField>
    <cacheField name="Факт" numFmtId="0">
      <sharedItems containsString="0" containsBlank="1" containsNumber="1">
        <m/>
        <n v="1927665.0"/>
        <n v="20000.0"/>
        <n v="71800.0"/>
        <n v="83400.0"/>
        <n v="53100.0"/>
        <n v="-554535.54"/>
        <n v="-34865.0"/>
        <n v="-408840.0"/>
        <n v="-50000.0"/>
        <n v="-119740.0"/>
        <n v="-111020.0"/>
        <n v="-100340.0"/>
        <n v="0.0"/>
        <n v="-130000.0"/>
        <n v="-212500.0"/>
        <n v="-150000.0"/>
        <n v="-5225.0"/>
        <n v="-86536.0"/>
        <n v="-12333.61"/>
        <n v="-106803.0"/>
        <n v="-325000.0"/>
        <n v="-23800.0"/>
        <n v="-385000.0"/>
        <n v="19200.0"/>
        <n v="57600.0"/>
        <n v="-679260.02"/>
        <n v="-185100.0"/>
        <n v="-74100.0"/>
        <n v="-119500.0"/>
        <n v="-137040.0"/>
        <n v="-147150.0"/>
        <n v="-261850.0"/>
        <n v="-170000.0"/>
        <n v="-135307.42"/>
        <n v="-24233.0"/>
        <n v="-37016.81"/>
        <n v="-365000.0"/>
        <n v="-25500.0"/>
        <n v="2376135.0"/>
        <n v="4185030.0"/>
        <n v="24200.0"/>
        <n v="114000.0"/>
        <n v="81000.0"/>
        <n v="-1175599.99"/>
        <n v="-276120.0"/>
        <n v="-66800.0"/>
        <n v="-120720.0"/>
        <n v="-250440.0"/>
        <n v="-359050.0"/>
        <n v="-18500.0"/>
        <n v="-230350.0"/>
        <n v="-5325.0"/>
        <n v="-15600.0"/>
        <n v="-53287.0"/>
        <n v="-14325.0"/>
        <n v="-405000.0"/>
        <n v="31500.0"/>
        <n v="14700.0"/>
        <n v="54000.0"/>
        <n v="48657.0"/>
        <n v="-1265803.99"/>
        <n v="-7500.0"/>
        <n v="-72320.0"/>
        <n v="-136400.0"/>
        <n v="-275468.0"/>
        <n v="-265800.0"/>
        <n v="-391800.0"/>
        <n v="-305400.0"/>
        <n v="-5834.0"/>
        <n v="-5960.35"/>
        <n v="-18312.9"/>
        <n v="-28105.0"/>
        <n v="-16376.41"/>
        <n v="-63000.0"/>
        <n v="-415000.0"/>
        <n v="4500030.0"/>
        <n v="110690.0"/>
        <n v="92730.0"/>
        <n v="238360.0"/>
        <n v="91230.0"/>
        <n v="-1437760.02"/>
        <n v="-69150.0"/>
        <n v="-123800.0"/>
        <n v="-71500.0"/>
        <n v="-413300.0"/>
        <n v="-322020.0"/>
        <n v="-676000.0"/>
        <n v="-92550.0"/>
        <n v="-257700.0"/>
        <n v="-200000.0"/>
        <n v="-2024.4"/>
        <n v="-135300.0"/>
        <n v="-28264.0"/>
        <n v="-14540.0"/>
        <n v="5469920.0"/>
        <n v="149625.0"/>
        <n v="25600.0"/>
        <n v="11925.0"/>
        <n v="48600.0"/>
        <n v="-1160120.21"/>
        <n v="-41943.85"/>
        <n v="-160000.0"/>
        <n v="-256400.0"/>
        <n v="-94660.0"/>
        <n v="-258700.0"/>
        <n v="-439800.0"/>
        <n v="-47720.0"/>
        <n v="-247700.0"/>
        <n v="-15000.0"/>
        <n v="-16500.0"/>
        <n v="-23965.0"/>
        <n v="-18598.0"/>
        <n v="4718575.0"/>
        <n v="517865.0"/>
        <n v="130755.0"/>
        <n v="63150.0"/>
        <n v="-1271586.22"/>
        <n v="-84590.99"/>
        <n v="-22200.0"/>
        <n v="-61950.0"/>
        <n v="-89100.0"/>
        <n v="-271440.0"/>
        <n v="-543550.0"/>
        <n v="-55500.0"/>
        <n v="-261450.0"/>
        <n v="-114080.0"/>
        <n v="-2780.0"/>
        <n v="-23975.0"/>
        <n v="-13084.0"/>
        <n v="-4100.0"/>
        <n v="4399920.0"/>
      </sharedItems>
    </cacheField>
    <cacheField name="Комментарий" numFmtId="0">
      <sharedItems containsBlank="1">
        <m/>
        <s v="Добавила 50000 от ПИ на РНД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Поквартально" cacheId="0" dataCaption="" compact="0" compactData="0">
  <location ref="A1:K34" firstHeaderRow="0" firstDataRow="2" firstDataCol="1"/>
  <pivotFields>
    <pivotField name="0" axis="axisRow" compact="0" outline="0" multipleItemSelectionAllowed="1" showAll="0" sortType="ascending">
      <items>
        <item x="30"/>
        <item x="0"/>
        <item x="1"/>
        <item x="2"/>
        <item x="3"/>
        <item x="4"/>
        <item x="5"/>
        <item x="6"/>
        <item x="28"/>
        <item x="7"/>
        <item x="29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Ответственный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Месяц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Квартал" axis="axisCol" compact="0" outline="0" multipleItemSelectionAllowed="1" showAll="0" sortType="ascending">
      <items>
        <item h="1" x="4"/>
        <item x="0"/>
        <item x="1"/>
        <item x="2"/>
        <item x="3"/>
        <item t="default"/>
      </items>
    </pivotField>
    <pivotField name="План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Факт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name="Комментарий" compact="0" outline="0" multipleItemSelectionAllowed="1" showAll="0">
      <items>
        <item x="0"/>
        <item x="1"/>
        <item t="default"/>
      </items>
    </pivotField>
  </pivotFields>
  <rowFields>
    <field x="0"/>
  </rowFields>
  <colFields>
    <field x="3"/>
    <field x="-2"/>
  </colFields>
  <dataFields>
    <dataField name="SUM of План" fld="4" baseField="0"/>
    <dataField name="SUM of Факт" fld="5" baseField="0"/>
  </dataFields>
</pivotTableDefinition>
</file>

<file path=xl/pivotTables/pivotTable2.xml><?xml version="1.0" encoding="utf-8"?>
<pivotTableDefinition xmlns="http://schemas.openxmlformats.org/spreadsheetml/2006/main" name="Поквартально 2" cacheId="1" dataCaption="" compact="0" compactData="0">
  <location ref="A36:AA69" firstHeaderRow="0" firstDataRow="2" firstDataCol="1"/>
  <pivotFields>
    <pivotField name="0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28"/>
        <item x="7"/>
        <item x="29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Ответственный" compact="0" outline="0" multipleItemSelectionAllowed="1" showAll="0">
      <items>
        <item x="0"/>
        <item x="1"/>
        <item x="2"/>
        <item x="3"/>
        <item x="4"/>
        <item t="default"/>
      </items>
    </pivotField>
    <pivotField name="Месяц" axis="axisCol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Квартал" compact="0" outline="0" multipleItemSelectionAllowed="1" showAll="0">
      <items>
        <item x="0"/>
        <item x="1"/>
        <item x="2"/>
        <item x="3"/>
        <item t="default"/>
      </items>
    </pivotField>
    <pivotField name="План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Факт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name="Комментарий" compact="0" outline="0" multipleItemSelectionAllowed="1" showAll="0">
      <items>
        <item x="0"/>
        <item x="1"/>
        <item t="default"/>
      </items>
    </pivotField>
  </pivotFields>
  <rowFields>
    <field x="0"/>
  </rowFields>
  <colFields>
    <field x="2"/>
    <field x="-2"/>
  </colFields>
  <dataFields>
    <dataField name="SUM of План" fld="4" baseField="0"/>
    <dataField name="SUM of Факт" fld="5" baseField="0"/>
  </dataFields>
</pivotTableDefinition>
</file>

<file path=xl/pivotTables/pivotTable3.xml><?xml version="1.0" encoding="utf-8"?>
<pivotTableDefinition xmlns="http://schemas.openxmlformats.org/spreadsheetml/2006/main" name="Отклонение от  плана ЛСА" cacheId="2" dataCaption="" compact="0" compactData="0">
  <location ref="A3:B34" firstHeaderRow="0" firstDataRow="1" firstDataCol="0"/>
  <pivotFields>
    <pivotField name="0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28"/>
        <item x="7"/>
        <item x="29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Ответственный" compact="0" outline="0" multipleItemSelectionAllowed="1" showAll="0">
      <items>
        <item x="0"/>
        <item x="1"/>
        <item x="2"/>
        <item x="3"/>
        <item x="4"/>
        <item t="default"/>
      </items>
    </pivotField>
    <pivotField name="Месяц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Квартал" compact="0" outline="0" multipleItemSelectionAllowed="1" showAll="0">
      <items>
        <item x="0"/>
        <item x="1"/>
        <item x="2"/>
        <item x="3"/>
        <item t="default"/>
      </items>
    </pivotField>
    <pivotField name="План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Факт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name="Комментарий" compact="0" outline="0" multipleItemSelectionAllowed="1" showAll="0">
      <items>
        <item x="0"/>
        <item x="1"/>
        <item t="default"/>
      </items>
    </pivotField>
  </pivotFields>
  <rowFields>
    <field x="0"/>
  </rowFields>
  <dataFields>
    <dataField name="SUM of План" fld="4" baseField="0"/>
  </dataFields>
</pivotTableDefinition>
</file>

<file path=xl/tables/table1.xml><?xml version="1.0" encoding="utf-8"?>
<table xmlns="http://schemas.openxmlformats.org/spreadsheetml/2006/main" headerRowCount="0" ref="A1:G2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Инфо20-06.Себестоимость от прод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2.33"/>
    <col customWidth="1" min="2" max="2" width="40.0"/>
    <col customWidth="1" hidden="1" min="3" max="14" width="23.33"/>
    <col customWidth="1" min="15" max="16" width="16.5"/>
    <col customWidth="1" min="17" max="17" width="11.67"/>
    <col customWidth="1" hidden="1" min="18" max="18" width="8.0"/>
    <col customWidth="1" min="19" max="19" width="16.5"/>
    <col customWidth="1" min="20" max="20" width="11.67"/>
    <col customWidth="1" min="21" max="21" width="21.17"/>
    <col customWidth="1" min="22" max="22" width="24.33"/>
    <col customWidth="1" min="23" max="23" width="10.83"/>
    <col customWidth="1" min="24" max="26" width="8.0"/>
  </cols>
  <sheetData>
    <row r="1" ht="11.25" customHeight="1">
      <c r="O1" s="1"/>
      <c r="P1" s="1"/>
      <c r="Q1" s="3"/>
      <c r="S1" s="1"/>
      <c r="T1" s="3"/>
    </row>
    <row r="2" ht="21.0" customHeight="1">
      <c r="B2" s="5" t="s">
        <v>1</v>
      </c>
      <c r="O2" s="6"/>
      <c r="P2" s="6"/>
      <c r="Q2" s="7"/>
      <c r="S2" s="6"/>
      <c r="T2" s="7"/>
    </row>
    <row r="3" ht="11.25" customHeight="1">
      <c r="O3" s="1"/>
      <c r="P3" s="1"/>
      <c r="Q3" s="3"/>
      <c r="S3" s="1"/>
      <c r="T3" s="3"/>
    </row>
    <row r="4" ht="15.75" customHeight="1">
      <c r="B4" s="9" t="s">
        <v>8</v>
      </c>
      <c r="O4" s="10"/>
      <c r="P4" s="10"/>
      <c r="Q4" s="11"/>
      <c r="S4" s="10"/>
      <c r="T4" s="11"/>
    </row>
    <row r="5" ht="11.25" customHeight="1">
      <c r="B5" s="13"/>
      <c r="C5" s="13" t="s">
        <v>11</v>
      </c>
      <c r="D5" s="13" t="s">
        <v>12</v>
      </c>
      <c r="E5" s="13" t="s">
        <v>13</v>
      </c>
      <c r="F5" s="13" t="s">
        <v>14</v>
      </c>
      <c r="G5" s="13" t="s">
        <v>15</v>
      </c>
      <c r="H5" s="13" t="s">
        <v>16</v>
      </c>
      <c r="I5" s="13" t="s">
        <v>17</v>
      </c>
      <c r="J5" s="13" t="s">
        <v>18</v>
      </c>
      <c r="K5" s="13" t="s">
        <v>19</v>
      </c>
      <c r="L5" s="13" t="s">
        <v>20</v>
      </c>
      <c r="M5" s="13" t="s">
        <v>21</v>
      </c>
      <c r="N5" s="13" t="s">
        <v>22</v>
      </c>
      <c r="O5" s="17">
        <v>2024.0</v>
      </c>
      <c r="P5" s="17">
        <v>2025.0</v>
      </c>
      <c r="Q5" s="18" t="s">
        <v>23</v>
      </c>
      <c r="R5" s="23">
        <f t="shared" ref="R5:R72" si="1">P5</f>
        <v>2025</v>
      </c>
      <c r="S5" s="17" t="s">
        <v>29</v>
      </c>
      <c r="T5" s="18" t="s">
        <v>23</v>
      </c>
      <c r="U5" s="16" t="s">
        <v>6</v>
      </c>
      <c r="V5" s="26" t="s">
        <v>31</v>
      </c>
    </row>
    <row r="6" ht="11.25" customHeight="1">
      <c r="B6" s="28" t="s">
        <v>33</v>
      </c>
      <c r="C6" s="29">
        <v>1620120.0</v>
      </c>
      <c r="D6" s="30">
        <v>2444220.0</v>
      </c>
      <c r="E6" s="31">
        <v>2124600.0</v>
      </c>
      <c r="F6" s="32">
        <v>2080780.0</v>
      </c>
      <c r="G6" s="34">
        <v>2503840.0</v>
      </c>
      <c r="H6" s="35">
        <v>1851790.0</v>
      </c>
      <c r="I6" s="36">
        <v>2011800.0</v>
      </c>
      <c r="J6" s="37">
        <v>2391230.0</v>
      </c>
      <c r="K6" s="38">
        <v>3486230.0</v>
      </c>
      <c r="L6" s="39">
        <v>3523630.0</v>
      </c>
      <c r="M6" s="40">
        <v>3127680.0</v>
      </c>
      <c r="N6" s="41">
        <v>3307890.0</v>
      </c>
      <c r="O6" s="42">
        <v>3.280891E7</v>
      </c>
      <c r="P6" s="42">
        <v>3.506918E7</v>
      </c>
      <c r="Q6" s="43">
        <f t="shared" ref="Q6:Q9" si="2">(P6-O6)/O6</f>
        <v>0.06889195648</v>
      </c>
      <c r="R6" s="44">
        <f t="shared" si="1"/>
        <v>35069180</v>
      </c>
      <c r="S6" s="42">
        <f>P6-P6*0.05+8000000+6000000</f>
        <v>47315721</v>
      </c>
      <c r="T6" s="43">
        <f t="shared" ref="T6:T11" si="3">(S6-R6)/R6</f>
        <v>0.3492109311</v>
      </c>
      <c r="U6" s="23" t="s">
        <v>45</v>
      </c>
      <c r="V6" s="26" t="s">
        <v>9</v>
      </c>
    </row>
    <row r="7" ht="11.25" customHeight="1">
      <c r="B7" s="28" t="s">
        <v>47</v>
      </c>
      <c r="C7" s="48">
        <v>5000.0</v>
      </c>
      <c r="D7" s="48">
        <v>5000.0</v>
      </c>
      <c r="E7" s="48">
        <v>5000.0</v>
      </c>
      <c r="F7" s="48">
        <v>5000.0</v>
      </c>
      <c r="G7" s="48">
        <v>5000.0</v>
      </c>
      <c r="H7" s="48">
        <v>5000.0</v>
      </c>
      <c r="I7" s="48">
        <v>5000.0</v>
      </c>
      <c r="J7" s="48">
        <v>5000.0</v>
      </c>
      <c r="K7" s="48">
        <v>5000.0</v>
      </c>
      <c r="L7" s="48">
        <v>5000.0</v>
      </c>
      <c r="M7" s="48">
        <v>5000.0</v>
      </c>
      <c r="N7" s="48">
        <v>5000.0</v>
      </c>
      <c r="O7" s="42">
        <v>60000.0</v>
      </c>
      <c r="P7" s="42">
        <v>215000.0</v>
      </c>
      <c r="Q7" s="43">
        <f t="shared" si="2"/>
        <v>2.583333333</v>
      </c>
      <c r="R7" s="44">
        <f t="shared" si="1"/>
        <v>215000</v>
      </c>
      <c r="S7" s="42">
        <v>400000.0</v>
      </c>
      <c r="T7" s="43">
        <f t="shared" si="3"/>
        <v>0.8604651163</v>
      </c>
      <c r="U7" s="23" t="s">
        <v>53</v>
      </c>
      <c r="V7" s="26" t="s">
        <v>9</v>
      </c>
    </row>
    <row r="8" ht="11.25" customHeight="1">
      <c r="B8" s="28" t="s">
        <v>55</v>
      </c>
      <c r="C8" s="49">
        <v>0.0</v>
      </c>
      <c r="D8" s="49">
        <v>0.0</v>
      </c>
      <c r="E8" s="49">
        <v>0.0</v>
      </c>
      <c r="F8" s="50">
        <v>104700.0</v>
      </c>
      <c r="G8" s="49">
        <v>0.0</v>
      </c>
      <c r="H8" s="49">
        <v>0.0</v>
      </c>
      <c r="I8" s="51">
        <v>88128.0</v>
      </c>
      <c r="J8" s="52">
        <v>134280.0</v>
      </c>
      <c r="K8" s="53">
        <v>44064.0</v>
      </c>
      <c r="L8" s="54">
        <v>12000.0</v>
      </c>
      <c r="M8" s="49">
        <v>0.0</v>
      </c>
      <c r="N8" s="53">
        <v>44064.0</v>
      </c>
      <c r="O8" s="42">
        <v>1624218.0</v>
      </c>
      <c r="P8" s="42">
        <v>1749780.0</v>
      </c>
      <c r="Q8" s="43">
        <f t="shared" si="2"/>
        <v>0.07730612516</v>
      </c>
      <c r="R8" s="44">
        <f t="shared" si="1"/>
        <v>1749780</v>
      </c>
      <c r="S8" s="56">
        <v>2500000.0</v>
      </c>
      <c r="T8" s="43">
        <f t="shared" si="3"/>
        <v>0.428751043</v>
      </c>
      <c r="U8" s="24" t="s">
        <v>63</v>
      </c>
      <c r="V8" s="26" t="s">
        <v>9</v>
      </c>
    </row>
    <row r="9" ht="11.25" customHeight="1">
      <c r="B9" s="28" t="s">
        <v>65</v>
      </c>
      <c r="C9" s="60">
        <v>169700.0</v>
      </c>
      <c r="D9" s="61">
        <v>183020.0</v>
      </c>
      <c r="E9" s="62">
        <v>189300.0</v>
      </c>
      <c r="F9" s="64">
        <v>223790.0</v>
      </c>
      <c r="G9" s="66">
        <v>82370.0</v>
      </c>
      <c r="H9" s="68">
        <v>112500.0</v>
      </c>
      <c r="I9" s="70">
        <v>99200.0</v>
      </c>
      <c r="J9" s="71">
        <v>102500.0</v>
      </c>
      <c r="K9" s="72">
        <v>110000.0</v>
      </c>
      <c r="L9" s="71">
        <v>102500.0</v>
      </c>
      <c r="M9" s="74">
        <v>113750.0</v>
      </c>
      <c r="N9" s="77">
        <v>83410.0</v>
      </c>
      <c r="O9" s="42">
        <v>1572040.0</v>
      </c>
      <c r="P9" s="42">
        <v>2371080.0</v>
      </c>
      <c r="Q9" s="43">
        <f t="shared" si="2"/>
        <v>0.508282232</v>
      </c>
      <c r="R9" s="44">
        <f t="shared" si="1"/>
        <v>2371080</v>
      </c>
      <c r="S9" s="42">
        <v>3500000.0</v>
      </c>
      <c r="T9" s="43">
        <f t="shared" si="3"/>
        <v>0.4761205864</v>
      </c>
      <c r="V9" s="26" t="s">
        <v>9</v>
      </c>
    </row>
    <row r="10" ht="11.25" customHeight="1">
      <c r="B10" s="28" t="s">
        <v>74</v>
      </c>
      <c r="C10" s="60"/>
      <c r="D10" s="61"/>
      <c r="E10" s="62"/>
      <c r="F10" s="64"/>
      <c r="G10" s="66"/>
      <c r="H10" s="68"/>
      <c r="I10" s="70"/>
      <c r="J10" s="71"/>
      <c r="K10" s="72"/>
      <c r="L10" s="71"/>
      <c r="M10" s="74"/>
      <c r="N10" s="77"/>
      <c r="O10" s="42"/>
      <c r="P10" s="42">
        <v>500000.0</v>
      </c>
      <c r="Q10" s="43"/>
      <c r="R10" s="44">
        <f t="shared" si="1"/>
        <v>500000</v>
      </c>
      <c r="S10" s="42">
        <v>3000000.0</v>
      </c>
      <c r="T10" s="43">
        <f t="shared" si="3"/>
        <v>5</v>
      </c>
      <c r="U10" s="23" t="s">
        <v>75</v>
      </c>
      <c r="V10" s="26" t="s">
        <v>9</v>
      </c>
    </row>
    <row r="11" ht="11.25" customHeight="1">
      <c r="B11" s="13" t="s">
        <v>77</v>
      </c>
      <c r="C11" s="85">
        <v>2420620.0</v>
      </c>
      <c r="D11" s="87">
        <v>3172240.0</v>
      </c>
      <c r="E11" s="88">
        <v>2998900.0</v>
      </c>
      <c r="F11" s="90">
        <v>3264470.0</v>
      </c>
      <c r="G11" s="92">
        <v>2591210.0</v>
      </c>
      <c r="H11" s="94">
        <v>1969290.0</v>
      </c>
      <c r="I11" s="96">
        <v>2204128.0</v>
      </c>
      <c r="J11" s="97">
        <v>2716010.0</v>
      </c>
      <c r="K11" s="99">
        <v>3826646.0</v>
      </c>
      <c r="L11" s="100">
        <v>3912080.0</v>
      </c>
      <c r="M11" s="102">
        <v>3293406.0</v>
      </c>
      <c r="N11" s="104">
        <v>3688168.0</v>
      </c>
      <c r="O11" s="105">
        <v>3.6057168E7</v>
      </c>
      <c r="P11" s="105">
        <v>3.989624E7</v>
      </c>
      <c r="Q11" s="107">
        <f>(P11-O11)/O11</f>
        <v>0.1064718117</v>
      </c>
      <c r="R11" s="44">
        <f t="shared" si="1"/>
        <v>39896240</v>
      </c>
      <c r="S11" s="105">
        <f>S6+S7+S8+S9+S10</f>
        <v>56715721</v>
      </c>
      <c r="T11" s="107">
        <f t="shared" si="3"/>
        <v>0.4215806051</v>
      </c>
      <c r="V11" s="16"/>
    </row>
    <row r="12" ht="11.25" customHeight="1">
      <c r="O12" s="1"/>
      <c r="P12" s="1"/>
      <c r="Q12" s="3"/>
      <c r="R12" s="44" t="str">
        <f t="shared" si="1"/>
        <v/>
      </c>
      <c r="S12" s="1"/>
      <c r="T12" s="3"/>
    </row>
    <row r="13" ht="15.75" customHeight="1">
      <c r="B13" s="9" t="s">
        <v>87</v>
      </c>
      <c r="O13" s="10"/>
      <c r="P13" s="10"/>
      <c r="Q13" s="11"/>
      <c r="R13" s="44" t="str">
        <f t="shared" si="1"/>
        <v/>
      </c>
      <c r="S13" s="10"/>
      <c r="T13" s="11"/>
    </row>
    <row r="14" ht="11.25" customHeight="1">
      <c r="B14" s="13"/>
      <c r="C14" s="13" t="s">
        <v>11</v>
      </c>
      <c r="D14" s="13" t="s">
        <v>12</v>
      </c>
      <c r="E14" s="13" t="s">
        <v>13</v>
      </c>
      <c r="F14" s="13" t="s">
        <v>14</v>
      </c>
      <c r="G14" s="13" t="s">
        <v>15</v>
      </c>
      <c r="H14" s="13" t="s">
        <v>16</v>
      </c>
      <c r="I14" s="13" t="s">
        <v>17</v>
      </c>
      <c r="J14" s="13" t="s">
        <v>18</v>
      </c>
      <c r="K14" s="13" t="s">
        <v>19</v>
      </c>
      <c r="L14" s="13" t="s">
        <v>20</v>
      </c>
      <c r="M14" s="13" t="s">
        <v>21</v>
      </c>
      <c r="N14" s="13" t="s">
        <v>22</v>
      </c>
      <c r="O14" s="17">
        <v>2024.0</v>
      </c>
      <c r="P14" s="17">
        <v>2025.0</v>
      </c>
      <c r="Q14" s="18"/>
      <c r="R14" s="23">
        <f t="shared" si="1"/>
        <v>2025</v>
      </c>
      <c r="S14" s="17" t="s">
        <v>29</v>
      </c>
      <c r="T14" s="18"/>
      <c r="V14" s="16"/>
    </row>
    <row r="15" ht="11.25" customHeight="1">
      <c r="B15" s="28" t="s">
        <v>104</v>
      </c>
      <c r="C15" s="118">
        <v>658142.69</v>
      </c>
      <c r="D15" s="119">
        <v>838233.76</v>
      </c>
      <c r="E15" s="122">
        <v>784464.24</v>
      </c>
      <c r="F15" s="125">
        <v>737684.19</v>
      </c>
      <c r="G15" s="126">
        <v>926060.0</v>
      </c>
      <c r="H15" s="128">
        <v>696980.01</v>
      </c>
      <c r="I15" s="130">
        <v>785160.01</v>
      </c>
      <c r="J15" s="132">
        <v>850099.99</v>
      </c>
      <c r="K15" s="133">
        <v>1227780.01</v>
      </c>
      <c r="L15" s="134">
        <v>1280520.0</v>
      </c>
      <c r="M15" s="135">
        <v>966659.99</v>
      </c>
      <c r="N15" s="137">
        <v>1104559.97</v>
      </c>
      <c r="O15" s="42">
        <v>1.124560919E7</v>
      </c>
      <c r="P15" s="42">
        <v>1.115939686E7</v>
      </c>
      <c r="Q15" s="138">
        <f t="shared" ref="Q15:Q19" si="4">(P15-O15)/O15</f>
        <v>-0.007666310339</v>
      </c>
      <c r="R15" s="44">
        <f t="shared" si="1"/>
        <v>11159396.86</v>
      </c>
      <c r="S15" s="42">
        <f>P15*(1.5)</f>
        <v>16739095.29</v>
      </c>
      <c r="T15" s="138">
        <f t="shared" ref="T15:T19" si="5">(S15-R15)/R15</f>
        <v>0.5</v>
      </c>
      <c r="V15" s="26" t="s">
        <v>27</v>
      </c>
    </row>
    <row r="16" ht="15.75" customHeight="1">
      <c r="B16" s="28" t="s">
        <v>113</v>
      </c>
      <c r="C16" s="49">
        <v>0.0</v>
      </c>
      <c r="D16" s="49">
        <v>0.0</v>
      </c>
      <c r="E16" s="49">
        <v>0.0</v>
      </c>
      <c r="F16" s="141">
        <v>47154.67</v>
      </c>
      <c r="G16" s="49">
        <v>0.0</v>
      </c>
      <c r="H16" s="49">
        <v>0.0</v>
      </c>
      <c r="I16" s="142">
        <v>57288.0</v>
      </c>
      <c r="J16" s="143">
        <v>93996.0</v>
      </c>
      <c r="K16" s="145">
        <v>28644.0</v>
      </c>
      <c r="L16" s="146">
        <v>5400.0</v>
      </c>
      <c r="M16" s="49">
        <v>0.0</v>
      </c>
      <c r="N16" s="145">
        <v>28644.0</v>
      </c>
      <c r="O16" s="42">
        <v>949980.83</v>
      </c>
      <c r="P16" s="42">
        <v>1041424.0</v>
      </c>
      <c r="Q16" s="138">
        <f t="shared" si="4"/>
        <v>0.0962579108</v>
      </c>
      <c r="R16" s="44">
        <f t="shared" si="1"/>
        <v>1041424</v>
      </c>
      <c r="S16" s="42">
        <f>S8/2</f>
        <v>1250000</v>
      </c>
      <c r="T16" s="138">
        <f t="shared" si="5"/>
        <v>0.2002796171</v>
      </c>
      <c r="V16" s="26" t="s">
        <v>9</v>
      </c>
    </row>
    <row r="17" ht="11.25" customHeight="1">
      <c r="B17" s="13" t="s">
        <v>117</v>
      </c>
      <c r="C17" s="149">
        <v>908295.97</v>
      </c>
      <c r="D17" s="150">
        <v>916995.45</v>
      </c>
      <c r="E17" s="151">
        <v>858797.63</v>
      </c>
      <c r="F17" s="153">
        <v>982350.67</v>
      </c>
      <c r="G17" s="154">
        <v>926060.0</v>
      </c>
      <c r="H17" s="155">
        <v>696980.01</v>
      </c>
      <c r="I17" s="156">
        <v>842448.01</v>
      </c>
      <c r="J17" s="157">
        <v>1008756.17</v>
      </c>
      <c r="K17" s="158">
        <v>1362459.15</v>
      </c>
      <c r="L17" s="159">
        <v>1427273.0</v>
      </c>
      <c r="M17" s="160">
        <v>991739.99</v>
      </c>
      <c r="N17" s="162">
        <v>1269833.97</v>
      </c>
      <c r="O17" s="105">
        <v>1.219199002E7</v>
      </c>
      <c r="P17" s="105">
        <v>1.219290086E7</v>
      </c>
      <c r="Q17" s="18">
        <f t="shared" si="4"/>
        <v>0.0000747080664</v>
      </c>
      <c r="R17" s="44">
        <f t="shared" si="1"/>
        <v>12192900.86</v>
      </c>
      <c r="S17" s="105">
        <f>S15+S16</f>
        <v>17989095.29</v>
      </c>
      <c r="T17" s="18">
        <f t="shared" si="5"/>
        <v>0.475374523</v>
      </c>
      <c r="V17" s="16"/>
    </row>
    <row r="18" ht="11.25" customHeight="1">
      <c r="B18" s="13" t="s">
        <v>123</v>
      </c>
      <c r="C18" s="163">
        <v>1512324.03</v>
      </c>
      <c r="D18" s="164">
        <v>2255244.55</v>
      </c>
      <c r="E18" s="165">
        <v>2140102.37</v>
      </c>
      <c r="F18" s="166">
        <v>2282119.33</v>
      </c>
      <c r="G18" s="167">
        <v>1665150.0</v>
      </c>
      <c r="H18" s="168">
        <v>1272309.99</v>
      </c>
      <c r="I18" s="169">
        <v>1361679.99</v>
      </c>
      <c r="J18" s="170">
        <v>1707253.83</v>
      </c>
      <c r="K18" s="171">
        <v>2464186.85</v>
      </c>
      <c r="L18" s="172">
        <v>2484807.0</v>
      </c>
      <c r="M18" s="173">
        <v>2301666.01</v>
      </c>
      <c r="N18" s="174">
        <v>2418334.03</v>
      </c>
      <c r="O18" s="105">
        <v>2.386517798E7</v>
      </c>
      <c r="P18" s="105">
        <v>2.770333914E7</v>
      </c>
      <c r="Q18" s="18">
        <f t="shared" si="4"/>
        <v>0.16082684</v>
      </c>
      <c r="R18" s="44">
        <f t="shared" si="1"/>
        <v>27703339.14</v>
      </c>
      <c r="S18" s="105">
        <f>S11-S17</f>
        <v>38726625.71</v>
      </c>
      <c r="T18" s="18">
        <f t="shared" si="5"/>
        <v>0.3979046177</v>
      </c>
      <c r="V18" s="16"/>
    </row>
    <row r="19" ht="11.25" customHeight="1">
      <c r="B19" s="13" t="s">
        <v>131</v>
      </c>
      <c r="C19" s="175">
        <v>0.6247672207946724</v>
      </c>
      <c r="D19" s="177">
        <v>0.710931250472852</v>
      </c>
      <c r="E19" s="178">
        <v>0.7136291206775818</v>
      </c>
      <c r="F19" s="179">
        <v>0.6990780524863147</v>
      </c>
      <c r="G19" s="180">
        <v>0.6426148401711941</v>
      </c>
      <c r="H19" s="181">
        <v>0.6460754840577061</v>
      </c>
      <c r="I19" s="182">
        <v>0.6177862583298248</v>
      </c>
      <c r="J19" s="184">
        <v>0.6285889337668122</v>
      </c>
      <c r="K19" s="186">
        <v>0.643954745225976</v>
      </c>
      <c r="L19" s="188">
        <v>0.6351626244862069</v>
      </c>
      <c r="M19" s="189">
        <v>0.6988710198499668</v>
      </c>
      <c r="N19" s="190">
        <v>0.6557006161324539</v>
      </c>
      <c r="O19" s="18">
        <v>0.661870560106107</v>
      </c>
      <c r="P19" s="18">
        <v>0.6943847124440801</v>
      </c>
      <c r="Q19" s="18">
        <f t="shared" si="4"/>
        <v>0.04912463901</v>
      </c>
      <c r="R19" s="191">
        <f t="shared" si="1"/>
        <v>0.6943847124</v>
      </c>
      <c r="S19" s="18">
        <f>S18/S11</f>
        <v>0.6828199488</v>
      </c>
      <c r="T19" s="18">
        <f t="shared" si="5"/>
        <v>-0.01665469217</v>
      </c>
      <c r="V19" s="16"/>
    </row>
    <row r="20" ht="11.25" customHeight="1">
      <c r="O20" s="1"/>
      <c r="P20" s="1"/>
      <c r="Q20" s="3"/>
      <c r="R20" s="44" t="str">
        <f t="shared" si="1"/>
        <v/>
      </c>
      <c r="S20" s="1"/>
      <c r="T20" s="3"/>
    </row>
    <row r="21" ht="15.75" customHeight="1">
      <c r="B21" s="9" t="s">
        <v>138</v>
      </c>
      <c r="O21" s="10"/>
      <c r="P21" s="10"/>
      <c r="Q21" s="11"/>
      <c r="R21" s="44" t="str">
        <f t="shared" si="1"/>
        <v/>
      </c>
      <c r="S21" s="10"/>
      <c r="T21" s="11"/>
    </row>
    <row r="22" ht="11.25" customHeight="1">
      <c r="B22" s="13"/>
      <c r="C22" s="13" t="s">
        <v>11</v>
      </c>
      <c r="D22" s="13" t="s">
        <v>12</v>
      </c>
      <c r="E22" s="13" t="s">
        <v>13</v>
      </c>
      <c r="F22" s="13" t="s">
        <v>14</v>
      </c>
      <c r="G22" s="13" t="s">
        <v>15</v>
      </c>
      <c r="H22" s="13" t="s">
        <v>16</v>
      </c>
      <c r="I22" s="13" t="s">
        <v>17</v>
      </c>
      <c r="J22" s="13" t="s">
        <v>18</v>
      </c>
      <c r="K22" s="13" t="s">
        <v>19</v>
      </c>
      <c r="L22" s="13" t="s">
        <v>20</v>
      </c>
      <c r="M22" s="13" t="s">
        <v>21</v>
      </c>
      <c r="N22" s="13" t="s">
        <v>22</v>
      </c>
      <c r="O22" s="17">
        <v>2024.0</v>
      </c>
      <c r="P22" s="17">
        <v>2025.0</v>
      </c>
      <c r="Q22" s="18"/>
      <c r="R22" s="23">
        <f t="shared" si="1"/>
        <v>2025</v>
      </c>
      <c r="S22" s="17" t="s">
        <v>29</v>
      </c>
      <c r="T22" s="18"/>
      <c r="V22" s="16"/>
    </row>
    <row r="23" ht="11.25" customHeight="1">
      <c r="B23" s="28" t="s">
        <v>141</v>
      </c>
      <c r="C23" s="192">
        <v>396200.0</v>
      </c>
      <c r="D23" s="194">
        <v>468740.0</v>
      </c>
      <c r="E23" s="195">
        <v>267100.0</v>
      </c>
      <c r="F23" s="196">
        <v>241360.0</v>
      </c>
      <c r="G23" s="197">
        <v>171180.0</v>
      </c>
      <c r="H23" s="198">
        <v>165000.0</v>
      </c>
      <c r="I23" s="200">
        <v>162590.1</v>
      </c>
      <c r="J23" s="202">
        <v>120000.0</v>
      </c>
      <c r="K23" s="202">
        <v>120000.0</v>
      </c>
      <c r="L23" s="204">
        <v>126800.0</v>
      </c>
      <c r="M23" s="202">
        <v>120000.0</v>
      </c>
      <c r="N23" s="202">
        <v>120000.0</v>
      </c>
      <c r="O23" s="42">
        <v>2478970.1</v>
      </c>
      <c r="P23" s="42">
        <v>1782144.96</v>
      </c>
      <c r="Q23" s="138">
        <f t="shared" ref="Q23:Q31" si="6">(P23-O23)/O23</f>
        <v>-0.2810946126</v>
      </c>
      <c r="R23" s="44">
        <f t="shared" si="1"/>
        <v>1782144.96</v>
      </c>
      <c r="S23" s="42">
        <v>1000000.0</v>
      </c>
      <c r="T23" s="138">
        <f t="shared" ref="T23:T31" si="7">(S23-R23)/R23</f>
        <v>-0.4388784176</v>
      </c>
      <c r="V23" s="26" t="s">
        <v>27</v>
      </c>
    </row>
    <row r="24" ht="11.25" customHeight="1">
      <c r="B24" s="28" t="s">
        <v>150</v>
      </c>
      <c r="C24" s="211">
        <v>283900.0</v>
      </c>
      <c r="D24" s="212">
        <v>219510.0</v>
      </c>
      <c r="E24" s="213">
        <v>174300.0</v>
      </c>
      <c r="F24" s="214">
        <v>287200.0</v>
      </c>
      <c r="G24" s="215">
        <v>158450.0</v>
      </c>
      <c r="H24" s="216">
        <v>66100.0</v>
      </c>
      <c r="I24" s="217">
        <v>39200.0</v>
      </c>
      <c r="J24" s="218">
        <v>17400.0</v>
      </c>
      <c r="K24" s="219">
        <v>26500.0</v>
      </c>
      <c r="L24" s="220">
        <v>29900.0</v>
      </c>
      <c r="M24" s="221">
        <v>11200.0</v>
      </c>
      <c r="N24" s="222">
        <v>34900.0</v>
      </c>
      <c r="O24" s="42">
        <v>1348560.0</v>
      </c>
      <c r="P24" s="42">
        <v>946780.0</v>
      </c>
      <c r="Q24" s="138">
        <f t="shared" si="6"/>
        <v>-0.2979326096</v>
      </c>
      <c r="R24" s="44">
        <f t="shared" si="1"/>
        <v>946780</v>
      </c>
      <c r="S24" s="42">
        <v>500000.0</v>
      </c>
      <c r="T24" s="138">
        <f t="shared" si="7"/>
        <v>-0.4718942098</v>
      </c>
      <c r="V24" s="26" t="s">
        <v>27</v>
      </c>
    </row>
    <row r="25" ht="11.25" customHeight="1">
      <c r="B25" s="28" t="s">
        <v>154</v>
      </c>
      <c r="C25" s="227">
        <v>32730.0</v>
      </c>
      <c r="D25" s="229">
        <v>31500.0</v>
      </c>
      <c r="E25" s="230">
        <v>55000.0</v>
      </c>
      <c r="F25" s="231">
        <v>116000.0</v>
      </c>
      <c r="G25" s="232">
        <v>66300.0</v>
      </c>
      <c r="H25" s="233">
        <v>73100.0</v>
      </c>
      <c r="I25" s="235">
        <v>255801.38</v>
      </c>
      <c r="J25" s="237">
        <v>155414.0</v>
      </c>
      <c r="K25" s="239">
        <v>152314.0</v>
      </c>
      <c r="L25" s="241">
        <v>166961.45</v>
      </c>
      <c r="M25" s="243">
        <v>137324.08</v>
      </c>
      <c r="N25" s="244">
        <v>159897.0</v>
      </c>
      <c r="O25" s="42">
        <v>1402341.91</v>
      </c>
      <c r="P25" s="42">
        <v>3492482.92</v>
      </c>
      <c r="Q25" s="138">
        <f t="shared" si="6"/>
        <v>1.490464626</v>
      </c>
      <c r="R25" s="44">
        <f t="shared" si="1"/>
        <v>3492482.92</v>
      </c>
      <c r="S25" s="42">
        <v>3000000.0</v>
      </c>
      <c r="T25" s="138">
        <f t="shared" si="7"/>
        <v>-0.141012263</v>
      </c>
      <c r="V25" s="26" t="s">
        <v>27</v>
      </c>
    </row>
    <row r="26" ht="11.25" customHeight="1">
      <c r="B26" s="28" t="s">
        <v>156</v>
      </c>
      <c r="C26" s="246">
        <v>143940.0</v>
      </c>
      <c r="D26" s="248">
        <v>169800.0</v>
      </c>
      <c r="E26" s="250">
        <v>168620.0</v>
      </c>
      <c r="F26" s="252">
        <v>172340.0</v>
      </c>
      <c r="G26" s="254">
        <v>192320.0</v>
      </c>
      <c r="H26" s="255">
        <v>136840.0</v>
      </c>
      <c r="I26" s="256">
        <v>140400.0</v>
      </c>
      <c r="J26" s="257">
        <v>176520.0</v>
      </c>
      <c r="K26" s="258">
        <v>262480.0</v>
      </c>
      <c r="L26" s="259">
        <v>259980.0</v>
      </c>
      <c r="M26" s="261">
        <v>202300.0</v>
      </c>
      <c r="N26" s="262">
        <v>224160.0</v>
      </c>
      <c r="O26" s="42">
        <v>2249700.0</v>
      </c>
      <c r="P26" s="42">
        <v>2162440.0</v>
      </c>
      <c r="Q26" s="138">
        <f t="shared" si="6"/>
        <v>-0.03878739387</v>
      </c>
      <c r="R26" s="44">
        <f t="shared" si="1"/>
        <v>2162440</v>
      </c>
      <c r="S26" s="42">
        <v>3000000.0</v>
      </c>
      <c r="T26" s="138">
        <f t="shared" si="7"/>
        <v>0.3873217292</v>
      </c>
      <c r="V26" s="26" t="s">
        <v>27</v>
      </c>
    </row>
    <row r="27" ht="15.75" customHeight="1">
      <c r="B27" s="28" t="s">
        <v>159</v>
      </c>
      <c r="C27" s="263">
        <v>107760.0</v>
      </c>
      <c r="D27" s="265">
        <v>197150.0</v>
      </c>
      <c r="E27" s="267">
        <v>200460.0</v>
      </c>
      <c r="F27" s="269">
        <v>213747.0</v>
      </c>
      <c r="G27" s="271">
        <v>146260.0</v>
      </c>
      <c r="H27" s="273">
        <v>82850.0</v>
      </c>
      <c r="I27" s="274">
        <v>89350.0</v>
      </c>
      <c r="J27" s="275">
        <v>162100.0</v>
      </c>
      <c r="K27" s="276">
        <v>285800.0</v>
      </c>
      <c r="L27" s="277">
        <v>287700.0</v>
      </c>
      <c r="M27" s="279">
        <v>260820.0</v>
      </c>
      <c r="N27" s="281">
        <v>281500.0</v>
      </c>
      <c r="O27" s="42">
        <v>2315497.0</v>
      </c>
      <c r="P27" s="42">
        <v>2597759.0</v>
      </c>
      <c r="Q27" s="138">
        <f t="shared" si="6"/>
        <v>0.1219012592</v>
      </c>
      <c r="R27" s="44">
        <f t="shared" si="1"/>
        <v>2597759</v>
      </c>
      <c r="S27" s="42">
        <v>4000000.0</v>
      </c>
      <c r="T27" s="138">
        <f t="shared" si="7"/>
        <v>0.5397887179</v>
      </c>
      <c r="V27" s="26" t="s">
        <v>54</v>
      </c>
    </row>
    <row r="28" ht="11.25" customHeight="1">
      <c r="B28" s="28" t="s">
        <v>163</v>
      </c>
      <c r="C28" s="49">
        <v>0.0</v>
      </c>
      <c r="D28" s="49">
        <v>0.0</v>
      </c>
      <c r="E28" s="49">
        <v>0.0</v>
      </c>
      <c r="F28" s="49">
        <v>0.0</v>
      </c>
      <c r="G28" s="49">
        <v>0.0</v>
      </c>
      <c r="H28" s="286">
        <v>18000.0</v>
      </c>
      <c r="I28" s="287">
        <v>1320.0</v>
      </c>
      <c r="J28" s="49">
        <v>0.0</v>
      </c>
      <c r="K28" s="288">
        <v>12750.0</v>
      </c>
      <c r="L28" s="49">
        <v>0.0</v>
      </c>
      <c r="M28" s="49">
        <v>0.0</v>
      </c>
      <c r="N28" s="49">
        <v>0.0</v>
      </c>
      <c r="O28" s="42">
        <v>32070.0</v>
      </c>
      <c r="P28" s="42">
        <v>63343.0</v>
      </c>
      <c r="Q28" s="138">
        <f t="shared" si="6"/>
        <v>0.9751481135</v>
      </c>
      <c r="R28" s="44">
        <f t="shared" si="1"/>
        <v>63343</v>
      </c>
      <c r="S28" s="42">
        <v>400000.0</v>
      </c>
      <c r="T28" s="138">
        <f t="shared" si="7"/>
        <v>5.314825632</v>
      </c>
      <c r="V28" s="26" t="s">
        <v>9</v>
      </c>
    </row>
    <row r="29" ht="11.25" customHeight="1">
      <c r="B29" s="13" t="s">
        <v>165</v>
      </c>
      <c r="C29" s="291">
        <v>964530.0</v>
      </c>
      <c r="D29" s="293">
        <v>1086700.0</v>
      </c>
      <c r="E29" s="295">
        <v>865480.0</v>
      </c>
      <c r="F29" s="297">
        <v>1030647.0</v>
      </c>
      <c r="G29" s="298">
        <v>734510.0</v>
      </c>
      <c r="H29" s="299">
        <v>541890.0</v>
      </c>
      <c r="I29" s="300">
        <v>688661.48</v>
      </c>
      <c r="J29" s="302">
        <v>631434.0</v>
      </c>
      <c r="K29" s="304">
        <v>859844.0</v>
      </c>
      <c r="L29" s="306">
        <v>871341.45</v>
      </c>
      <c r="M29" s="309">
        <v>731644.08</v>
      </c>
      <c r="N29" s="13" t="s">
        <v>168</v>
      </c>
      <c r="O29" s="105">
        <v>9827139.01</v>
      </c>
      <c r="P29" s="105">
        <v>1.104494988E7</v>
      </c>
      <c r="Q29" s="18">
        <f t="shared" si="6"/>
        <v>0.1239232363</v>
      </c>
      <c r="R29" s="44">
        <f t="shared" si="1"/>
        <v>11044949.88</v>
      </c>
      <c r="S29" s="105">
        <f>S28+S27+S26+S25+S24+S23</f>
        <v>11900000</v>
      </c>
      <c r="T29" s="18">
        <f t="shared" si="7"/>
        <v>0.07741548212</v>
      </c>
      <c r="V29" s="16"/>
    </row>
    <row r="30" ht="11.25" customHeight="1">
      <c r="B30" s="13" t="s">
        <v>123</v>
      </c>
      <c r="C30" s="13" t="s">
        <v>169</v>
      </c>
      <c r="D30" s="13" t="s">
        <v>170</v>
      </c>
      <c r="E30" s="13" t="s">
        <v>171</v>
      </c>
      <c r="F30" s="13" t="s">
        <v>172</v>
      </c>
      <c r="G30" s="13" t="s">
        <v>174</v>
      </c>
      <c r="H30" s="13" t="s">
        <v>175</v>
      </c>
      <c r="I30" s="13" t="s">
        <v>176</v>
      </c>
      <c r="J30" s="13" t="s">
        <v>177</v>
      </c>
      <c r="K30" s="13" t="s">
        <v>178</v>
      </c>
      <c r="L30" s="13" t="s">
        <v>179</v>
      </c>
      <c r="M30" s="13" t="s">
        <v>180</v>
      </c>
      <c r="N30" s="13" t="s">
        <v>181</v>
      </c>
      <c r="O30" s="105">
        <v>1.403803897E7</v>
      </c>
      <c r="P30" s="105">
        <v>1.665838926E7</v>
      </c>
      <c r="Q30" s="18">
        <f t="shared" si="6"/>
        <v>0.1866607078</v>
      </c>
      <c r="R30" s="44">
        <f t="shared" si="1"/>
        <v>16658389.26</v>
      </c>
      <c r="S30" s="105">
        <f>S18-S29</f>
        <v>26826625.71</v>
      </c>
      <c r="T30" s="18">
        <f t="shared" si="7"/>
        <v>0.6103973374</v>
      </c>
      <c r="V30" s="16"/>
    </row>
    <row r="31" ht="11.25" customHeight="1">
      <c r="B31" s="13" t="s">
        <v>131</v>
      </c>
      <c r="C31" s="13" t="s">
        <v>183</v>
      </c>
      <c r="D31" s="13" t="s">
        <v>184</v>
      </c>
      <c r="E31" s="13" t="s">
        <v>185</v>
      </c>
      <c r="F31" s="13" t="s">
        <v>186</v>
      </c>
      <c r="G31" s="13" t="s">
        <v>187</v>
      </c>
      <c r="H31" s="13" t="s">
        <v>184</v>
      </c>
      <c r="I31" s="13" t="s">
        <v>188</v>
      </c>
      <c r="J31" s="13" t="s">
        <v>189</v>
      </c>
      <c r="K31" s="13" t="s">
        <v>190</v>
      </c>
      <c r="L31" s="13" t="s">
        <v>191</v>
      </c>
      <c r="M31" s="13" t="s">
        <v>192</v>
      </c>
      <c r="N31" s="13" t="s">
        <v>185</v>
      </c>
      <c r="O31" s="18">
        <v>0.39</v>
      </c>
      <c r="P31" s="18">
        <v>0.42</v>
      </c>
      <c r="Q31" s="18">
        <f t="shared" si="6"/>
        <v>0.07692307692</v>
      </c>
      <c r="R31" s="191">
        <f t="shared" si="1"/>
        <v>0.42</v>
      </c>
      <c r="S31" s="18">
        <f>S30/S11</f>
        <v>0.4730015812</v>
      </c>
      <c r="T31" s="18">
        <f t="shared" si="7"/>
        <v>0.1261942409</v>
      </c>
      <c r="V31" s="16"/>
    </row>
    <row r="32" ht="11.25" customHeight="1">
      <c r="O32" s="1"/>
      <c r="P32" s="1"/>
      <c r="Q32" s="3"/>
      <c r="R32" s="44" t="str">
        <f t="shared" si="1"/>
        <v/>
      </c>
      <c r="S32" s="1"/>
      <c r="T32" s="3"/>
    </row>
    <row r="33" ht="15.75" customHeight="1">
      <c r="B33" s="9" t="s">
        <v>193</v>
      </c>
      <c r="O33" s="10"/>
      <c r="P33" s="10"/>
      <c r="Q33" s="11"/>
      <c r="R33" s="44" t="str">
        <f t="shared" si="1"/>
        <v/>
      </c>
      <c r="S33" s="10"/>
      <c r="T33" s="11"/>
    </row>
    <row r="34" ht="11.25" customHeight="1">
      <c r="B34" s="13"/>
      <c r="C34" s="13" t="s">
        <v>11</v>
      </c>
      <c r="D34" s="13" t="s">
        <v>12</v>
      </c>
      <c r="E34" s="13" t="s">
        <v>13</v>
      </c>
      <c r="F34" s="13" t="s">
        <v>14</v>
      </c>
      <c r="G34" s="13" t="s">
        <v>15</v>
      </c>
      <c r="H34" s="13" t="s">
        <v>16</v>
      </c>
      <c r="I34" s="13" t="s">
        <v>17</v>
      </c>
      <c r="J34" s="13" t="s">
        <v>18</v>
      </c>
      <c r="K34" s="13" t="s">
        <v>19</v>
      </c>
      <c r="L34" s="13" t="s">
        <v>20</v>
      </c>
      <c r="M34" s="13" t="s">
        <v>21</v>
      </c>
      <c r="N34" s="13" t="s">
        <v>22</v>
      </c>
      <c r="O34" s="17">
        <v>2024.0</v>
      </c>
      <c r="P34" s="17">
        <v>2025.0</v>
      </c>
      <c r="Q34" s="18"/>
      <c r="R34" s="23">
        <f t="shared" si="1"/>
        <v>2025</v>
      </c>
      <c r="S34" s="17" t="s">
        <v>29</v>
      </c>
      <c r="T34" s="18"/>
      <c r="V34" s="16"/>
    </row>
    <row r="35" ht="11.25" customHeight="1">
      <c r="B35" s="28" t="s">
        <v>194</v>
      </c>
      <c r="C35" s="28" t="s">
        <v>195</v>
      </c>
      <c r="D35" s="28" t="s">
        <v>195</v>
      </c>
      <c r="E35" s="28" t="s">
        <v>195</v>
      </c>
      <c r="F35" s="28" t="s">
        <v>195</v>
      </c>
      <c r="G35" s="28" t="s">
        <v>195</v>
      </c>
      <c r="H35" s="28" t="s">
        <v>195</v>
      </c>
      <c r="I35" s="28" t="s">
        <v>195</v>
      </c>
      <c r="J35" s="28" t="s">
        <v>195</v>
      </c>
      <c r="K35" s="28" t="s">
        <v>195</v>
      </c>
      <c r="L35" s="28" t="s">
        <v>195</v>
      </c>
      <c r="M35" s="28" t="s">
        <v>195</v>
      </c>
      <c r="N35" s="28" t="s">
        <v>195</v>
      </c>
      <c r="O35" s="42">
        <v>1560000.0</v>
      </c>
      <c r="P35" s="42">
        <v>1560000.0</v>
      </c>
      <c r="Q35" s="138">
        <f t="shared" ref="Q35:Q38" si="8">(P35-O35)/O35</f>
        <v>0</v>
      </c>
      <c r="R35" s="44">
        <f t="shared" si="1"/>
        <v>1560000</v>
      </c>
      <c r="S35" s="42">
        <f>P35*1.2</f>
        <v>1872000</v>
      </c>
      <c r="T35" s="138">
        <f t="shared" ref="T35:T38" si="9">(S35-R35)/R35</f>
        <v>0.2</v>
      </c>
      <c r="U35" s="23" t="s">
        <v>197</v>
      </c>
      <c r="V35" s="26" t="s">
        <v>58</v>
      </c>
    </row>
    <row r="36" ht="11.25" customHeight="1">
      <c r="B36" s="13" t="s">
        <v>198</v>
      </c>
      <c r="C36" s="13" t="s">
        <v>195</v>
      </c>
      <c r="D36" s="13" t="s">
        <v>195</v>
      </c>
      <c r="E36" s="13" t="s">
        <v>195</v>
      </c>
      <c r="F36" s="13" t="s">
        <v>195</v>
      </c>
      <c r="G36" s="13" t="s">
        <v>195</v>
      </c>
      <c r="H36" s="13" t="s">
        <v>195</v>
      </c>
      <c r="I36" s="13" t="s">
        <v>195</v>
      </c>
      <c r="J36" s="13" t="s">
        <v>195</v>
      </c>
      <c r="K36" s="13" t="s">
        <v>195</v>
      </c>
      <c r="L36" s="13" t="s">
        <v>195</v>
      </c>
      <c r="M36" s="13" t="s">
        <v>195</v>
      </c>
      <c r="N36" s="13" t="s">
        <v>195</v>
      </c>
      <c r="O36" s="105">
        <v>1560000.0</v>
      </c>
      <c r="P36" s="105">
        <v>1560000.0</v>
      </c>
      <c r="Q36" s="18">
        <f t="shared" si="8"/>
        <v>0</v>
      </c>
      <c r="R36" s="44">
        <f t="shared" si="1"/>
        <v>1560000</v>
      </c>
      <c r="S36" s="105">
        <f>P36</f>
        <v>1560000</v>
      </c>
      <c r="T36" s="18">
        <f t="shared" si="9"/>
        <v>0</v>
      </c>
      <c r="V36" s="16"/>
    </row>
    <row r="37" ht="11.25" customHeight="1">
      <c r="B37" s="13" t="s">
        <v>123</v>
      </c>
      <c r="C37" s="13" t="s">
        <v>199</v>
      </c>
      <c r="D37" s="13" t="s">
        <v>200</v>
      </c>
      <c r="E37" s="13" t="s">
        <v>201</v>
      </c>
      <c r="F37" s="13" t="s">
        <v>202</v>
      </c>
      <c r="G37" s="13" t="s">
        <v>203</v>
      </c>
      <c r="H37" s="13" t="s">
        <v>204</v>
      </c>
      <c r="I37" s="13" t="s">
        <v>205</v>
      </c>
      <c r="J37" s="13" t="s">
        <v>206</v>
      </c>
      <c r="K37" s="13" t="s">
        <v>207</v>
      </c>
      <c r="L37" s="13" t="s">
        <v>208</v>
      </c>
      <c r="M37" s="13" t="s">
        <v>209</v>
      </c>
      <c r="N37" s="13" t="s">
        <v>210</v>
      </c>
      <c r="O37" s="105">
        <v>1.247803897E7</v>
      </c>
      <c r="P37" s="105">
        <v>1.509838926E7</v>
      </c>
      <c r="Q37" s="18">
        <f t="shared" si="8"/>
        <v>0.2099969632</v>
      </c>
      <c r="R37" s="44">
        <f t="shared" si="1"/>
        <v>15098389.26</v>
      </c>
      <c r="S37" s="105">
        <f>S30-S36</f>
        <v>25266625.71</v>
      </c>
      <c r="T37" s="18">
        <f t="shared" si="9"/>
        <v>0.6734649819</v>
      </c>
      <c r="V37" s="16"/>
    </row>
    <row r="38" ht="11.25" customHeight="1">
      <c r="B38" s="13" t="s">
        <v>131</v>
      </c>
      <c r="C38" s="13" t="s">
        <v>212</v>
      </c>
      <c r="D38" s="13" t="s">
        <v>213</v>
      </c>
      <c r="E38" s="13" t="s">
        <v>186</v>
      </c>
      <c r="F38" s="13" t="s">
        <v>214</v>
      </c>
      <c r="G38" s="13" t="s">
        <v>188</v>
      </c>
      <c r="H38" s="13" t="s">
        <v>215</v>
      </c>
      <c r="I38" s="13" t="s">
        <v>216</v>
      </c>
      <c r="J38" s="13" t="s">
        <v>217</v>
      </c>
      <c r="K38" s="13" t="s">
        <v>218</v>
      </c>
      <c r="L38" s="13" t="s">
        <v>186</v>
      </c>
      <c r="M38" s="13" t="s">
        <v>219</v>
      </c>
      <c r="N38" s="13" t="s">
        <v>189</v>
      </c>
      <c r="O38" s="18">
        <v>0.35</v>
      </c>
      <c r="P38" s="18">
        <v>0.38</v>
      </c>
      <c r="Q38" s="18">
        <f t="shared" si="8"/>
        <v>0.08571428571</v>
      </c>
      <c r="R38" s="191">
        <f t="shared" si="1"/>
        <v>0.38</v>
      </c>
      <c r="S38" s="18">
        <f>S37/S11</f>
        <v>0.44549598</v>
      </c>
      <c r="T38" s="18">
        <f t="shared" si="9"/>
        <v>0.1723578422</v>
      </c>
      <c r="V38" s="16"/>
    </row>
    <row r="39" ht="15.75" customHeight="1">
      <c r="O39" s="1"/>
      <c r="P39" s="1"/>
      <c r="Q39" s="3"/>
      <c r="R39" s="44" t="str">
        <f t="shared" si="1"/>
        <v/>
      </c>
      <c r="S39" s="1"/>
      <c r="T39" s="3"/>
    </row>
    <row r="40" ht="15.75" customHeight="1">
      <c r="B40" s="9" t="s">
        <v>220</v>
      </c>
      <c r="O40" s="10"/>
      <c r="P40" s="10"/>
      <c r="Q40" s="11"/>
      <c r="R40" s="44" t="str">
        <f t="shared" si="1"/>
        <v/>
      </c>
      <c r="S40" s="10"/>
      <c r="T40" s="11"/>
    </row>
    <row r="41" ht="11.25" customHeight="1">
      <c r="B41" s="13"/>
      <c r="C41" s="13" t="s">
        <v>11</v>
      </c>
      <c r="D41" s="13" t="s">
        <v>12</v>
      </c>
      <c r="E41" s="13" t="s">
        <v>13</v>
      </c>
      <c r="F41" s="13" t="s">
        <v>14</v>
      </c>
      <c r="G41" s="13" t="s">
        <v>15</v>
      </c>
      <c r="H41" s="13" t="s">
        <v>16</v>
      </c>
      <c r="I41" s="13" t="s">
        <v>17</v>
      </c>
      <c r="J41" s="13" t="s">
        <v>18</v>
      </c>
      <c r="K41" s="13" t="s">
        <v>19</v>
      </c>
      <c r="L41" s="13" t="s">
        <v>20</v>
      </c>
      <c r="M41" s="13" t="s">
        <v>21</v>
      </c>
      <c r="N41" s="13" t="s">
        <v>22</v>
      </c>
      <c r="O41" s="17">
        <v>2024.0</v>
      </c>
      <c r="P41" s="17">
        <v>2025.0</v>
      </c>
      <c r="Q41" s="18"/>
      <c r="R41" s="23">
        <f t="shared" si="1"/>
        <v>2025</v>
      </c>
      <c r="S41" s="17" t="s">
        <v>29</v>
      </c>
      <c r="T41" s="18"/>
      <c r="V41" s="16"/>
    </row>
    <row r="42" ht="11.25" customHeight="1">
      <c r="B42" s="28" t="s">
        <v>222</v>
      </c>
      <c r="C42" s="28" t="s">
        <v>223</v>
      </c>
      <c r="D42" s="28" t="s">
        <v>224</v>
      </c>
      <c r="E42" s="324">
        <v>83000.0</v>
      </c>
      <c r="F42" s="28" t="s">
        <v>225</v>
      </c>
      <c r="G42" s="28" t="s">
        <v>226</v>
      </c>
      <c r="H42" s="28" t="s">
        <v>227</v>
      </c>
      <c r="I42" s="28" t="s">
        <v>228</v>
      </c>
      <c r="J42" s="28" t="s">
        <v>229</v>
      </c>
      <c r="K42" s="28" t="s">
        <v>230</v>
      </c>
      <c r="L42" s="28" t="s">
        <v>231</v>
      </c>
      <c r="M42" s="28" t="s">
        <v>232</v>
      </c>
      <c r="N42" s="28" t="s">
        <v>233</v>
      </c>
      <c r="O42" s="42">
        <v>2036970.12</v>
      </c>
      <c r="P42" s="42">
        <v>3842662.52</v>
      </c>
      <c r="Q42" s="138">
        <f t="shared" ref="Q42:Q43" si="10">(P42-O42)/O42</f>
        <v>0.8864599349</v>
      </c>
      <c r="R42" s="44">
        <f t="shared" si="1"/>
        <v>3842662.52</v>
      </c>
      <c r="S42" s="42">
        <f>3840000</f>
        <v>3840000</v>
      </c>
      <c r="T42" s="138">
        <f t="shared" ref="T42:T43" si="11">(S42-R42)/R42</f>
        <v>-0.000692884162</v>
      </c>
      <c r="U42" s="23" t="s">
        <v>234</v>
      </c>
      <c r="V42" s="26" t="s">
        <v>9</v>
      </c>
    </row>
    <row r="43" ht="11.25" customHeight="1">
      <c r="B43" s="28" t="s">
        <v>235</v>
      </c>
      <c r="C43" s="49">
        <v>0.0</v>
      </c>
      <c r="D43" s="49">
        <v>0.0</v>
      </c>
      <c r="E43" s="49">
        <v>0.0</v>
      </c>
      <c r="F43" s="49">
        <v>0.0</v>
      </c>
      <c r="G43" s="49">
        <v>0.0</v>
      </c>
      <c r="H43" s="49">
        <v>0.0</v>
      </c>
      <c r="I43" s="49">
        <v>0.0</v>
      </c>
      <c r="J43" s="49">
        <v>0.0</v>
      </c>
      <c r="K43" s="49">
        <v>0.0</v>
      </c>
      <c r="L43" s="49">
        <v>0.0</v>
      </c>
      <c r="M43" s="28" t="s">
        <v>236</v>
      </c>
      <c r="N43" s="49">
        <v>0.0</v>
      </c>
      <c r="O43" s="42">
        <v>10000.0</v>
      </c>
      <c r="P43" s="42">
        <v>2449351.0</v>
      </c>
      <c r="Q43" s="138">
        <f t="shared" si="10"/>
        <v>243.9351</v>
      </c>
      <c r="R43" s="44">
        <f t="shared" si="1"/>
        <v>2449351</v>
      </c>
      <c r="S43" s="42">
        <v>1000000.0</v>
      </c>
      <c r="T43" s="138">
        <f t="shared" si="11"/>
        <v>-0.5917285844</v>
      </c>
      <c r="U43" s="23" t="s">
        <v>237</v>
      </c>
      <c r="V43" s="26" t="s">
        <v>58</v>
      </c>
    </row>
    <row r="44" ht="11.25" customHeight="1">
      <c r="B44" s="28" t="s">
        <v>238</v>
      </c>
      <c r="C44" s="49">
        <v>0.0</v>
      </c>
      <c r="D44" s="49">
        <v>0.0</v>
      </c>
      <c r="E44" s="49">
        <v>0.0</v>
      </c>
      <c r="F44" s="49">
        <v>0.0</v>
      </c>
      <c r="G44" s="49">
        <v>0.0</v>
      </c>
      <c r="H44" s="49">
        <v>0.0</v>
      </c>
      <c r="I44" s="49">
        <v>0.0</v>
      </c>
      <c r="J44" s="49">
        <v>0.0</v>
      </c>
      <c r="K44" s="49">
        <v>0.0</v>
      </c>
      <c r="L44" s="49">
        <v>0.0</v>
      </c>
      <c r="M44" s="28" t="s">
        <v>240</v>
      </c>
      <c r="N44" s="49">
        <v>1.0</v>
      </c>
      <c r="O44" s="42"/>
      <c r="P44" s="42"/>
      <c r="Q44" s="138"/>
      <c r="R44" s="44" t="str">
        <f t="shared" si="1"/>
        <v/>
      </c>
      <c r="S44" s="42">
        <v>1000000.0</v>
      </c>
      <c r="T44" s="138"/>
      <c r="U44" s="23" t="s">
        <v>241</v>
      </c>
      <c r="V44" s="26" t="s">
        <v>58</v>
      </c>
    </row>
    <row r="45" ht="11.25" customHeight="1">
      <c r="B45" s="13" t="s">
        <v>242</v>
      </c>
      <c r="C45" s="13" t="s">
        <v>223</v>
      </c>
      <c r="D45" s="13" t="s">
        <v>224</v>
      </c>
      <c r="E45" s="326">
        <v>83000.0</v>
      </c>
      <c r="F45" s="13" t="s">
        <v>225</v>
      </c>
      <c r="G45" s="13" t="s">
        <v>226</v>
      </c>
      <c r="H45" s="13" t="s">
        <v>227</v>
      </c>
      <c r="I45" s="13" t="s">
        <v>228</v>
      </c>
      <c r="J45" s="13" t="s">
        <v>229</v>
      </c>
      <c r="K45" s="13" t="s">
        <v>230</v>
      </c>
      <c r="L45" s="13" t="s">
        <v>231</v>
      </c>
      <c r="M45" s="13" t="s">
        <v>243</v>
      </c>
      <c r="N45" s="13" t="s">
        <v>233</v>
      </c>
      <c r="O45" s="105">
        <v>2046970.12</v>
      </c>
      <c r="P45" s="105">
        <v>6292013.52</v>
      </c>
      <c r="Q45" s="18">
        <f t="shared" ref="Q45:Q47" si="12">(P45-O45)/O45</f>
        <v>2.073817961</v>
      </c>
      <c r="R45" s="44">
        <f t="shared" si="1"/>
        <v>6292013.52</v>
      </c>
      <c r="S45" s="105">
        <f>S42+S43+S44</f>
        <v>5840000</v>
      </c>
      <c r="T45" s="18">
        <f t="shared" ref="T45:T47" si="13">(S45-R45)/R45</f>
        <v>-0.07183924805</v>
      </c>
      <c r="V45" s="16"/>
    </row>
    <row r="46" ht="11.25" customHeight="1">
      <c r="B46" s="13" t="s">
        <v>123</v>
      </c>
      <c r="C46" s="13" t="s">
        <v>245</v>
      </c>
      <c r="D46" s="13" t="s">
        <v>246</v>
      </c>
      <c r="E46" s="13" t="s">
        <v>247</v>
      </c>
      <c r="F46" s="13" t="s">
        <v>248</v>
      </c>
      <c r="G46" s="13" t="s">
        <v>249</v>
      </c>
      <c r="H46" s="13" t="s">
        <v>250</v>
      </c>
      <c r="I46" s="13" t="s">
        <v>251</v>
      </c>
      <c r="J46" s="13" t="s">
        <v>252</v>
      </c>
      <c r="K46" s="13" t="s">
        <v>253</v>
      </c>
      <c r="L46" s="13" t="s">
        <v>254</v>
      </c>
      <c r="M46" s="13" t="s">
        <v>255</v>
      </c>
      <c r="N46" s="13" t="s">
        <v>256</v>
      </c>
      <c r="O46" s="105">
        <v>1.043106885E7</v>
      </c>
      <c r="P46" s="105">
        <v>8806375.74</v>
      </c>
      <c r="Q46" s="18">
        <f t="shared" si="12"/>
        <v>-0.1557551899</v>
      </c>
      <c r="R46" s="44">
        <f t="shared" si="1"/>
        <v>8806375.74</v>
      </c>
      <c r="S46" s="105">
        <f>S37-S45</f>
        <v>19426625.71</v>
      </c>
      <c r="T46" s="18">
        <f t="shared" si="13"/>
        <v>1.205972841</v>
      </c>
      <c r="V46" s="16"/>
    </row>
    <row r="47" ht="15.75" customHeight="1">
      <c r="B47" s="13" t="s">
        <v>131</v>
      </c>
      <c r="C47" s="13" t="s">
        <v>257</v>
      </c>
      <c r="D47" s="13" t="s">
        <v>258</v>
      </c>
      <c r="E47" s="13" t="s">
        <v>217</v>
      </c>
      <c r="F47" s="13" t="s">
        <v>188</v>
      </c>
      <c r="G47" s="13" t="s">
        <v>216</v>
      </c>
      <c r="H47" s="13" t="s">
        <v>260</v>
      </c>
      <c r="I47" s="13" t="s">
        <v>261</v>
      </c>
      <c r="J47" s="13" t="s">
        <v>262</v>
      </c>
      <c r="K47" s="13" t="s">
        <v>264</v>
      </c>
      <c r="L47" s="13" t="s">
        <v>264</v>
      </c>
      <c r="M47" s="13" t="s">
        <v>184</v>
      </c>
      <c r="N47" s="13" t="s">
        <v>215</v>
      </c>
      <c r="O47" s="18">
        <v>0.29</v>
      </c>
      <c r="P47" s="18">
        <v>0.22</v>
      </c>
      <c r="Q47" s="18">
        <f t="shared" si="12"/>
        <v>-0.2413793103</v>
      </c>
      <c r="R47" s="191">
        <f t="shared" si="1"/>
        <v>0.22</v>
      </c>
      <c r="S47" s="18">
        <f>S46/S11</f>
        <v>0.3425262937</v>
      </c>
      <c r="T47" s="18">
        <f t="shared" si="13"/>
        <v>0.5569376987</v>
      </c>
      <c r="V47" s="16"/>
    </row>
    <row r="48" ht="11.25" customHeight="1">
      <c r="O48" s="1"/>
      <c r="P48" s="1"/>
      <c r="Q48" s="3"/>
      <c r="R48" s="44" t="str">
        <f t="shared" si="1"/>
        <v/>
      </c>
      <c r="S48" s="1"/>
      <c r="T48" s="3"/>
    </row>
    <row r="49" ht="15.75" customHeight="1">
      <c r="B49" s="9" t="s">
        <v>274</v>
      </c>
      <c r="O49" s="10"/>
      <c r="P49" s="10"/>
      <c r="Q49" s="11"/>
      <c r="R49" s="44" t="str">
        <f t="shared" si="1"/>
        <v/>
      </c>
      <c r="S49" s="10"/>
      <c r="T49" s="11"/>
    </row>
    <row r="50" ht="11.25" customHeight="1">
      <c r="B50" s="13"/>
      <c r="C50" s="13" t="s">
        <v>11</v>
      </c>
      <c r="D50" s="13" t="s">
        <v>12</v>
      </c>
      <c r="E50" s="13" t="s">
        <v>13</v>
      </c>
      <c r="F50" s="13" t="s">
        <v>14</v>
      </c>
      <c r="G50" s="13" t="s">
        <v>15</v>
      </c>
      <c r="H50" s="13" t="s">
        <v>16</v>
      </c>
      <c r="I50" s="13" t="s">
        <v>17</v>
      </c>
      <c r="J50" s="13" t="s">
        <v>18</v>
      </c>
      <c r="K50" s="13" t="s">
        <v>19</v>
      </c>
      <c r="L50" s="13" t="s">
        <v>20</v>
      </c>
      <c r="M50" s="13" t="s">
        <v>21</v>
      </c>
      <c r="N50" s="13" t="s">
        <v>22</v>
      </c>
      <c r="O50" s="17">
        <v>2024.0</v>
      </c>
      <c r="P50" s="17">
        <v>2025.0</v>
      </c>
      <c r="Q50" s="18"/>
      <c r="R50" s="23">
        <f t="shared" si="1"/>
        <v>2025</v>
      </c>
      <c r="S50" s="17" t="s">
        <v>29</v>
      </c>
      <c r="T50" s="18"/>
      <c r="V50" s="16"/>
    </row>
    <row r="51" ht="11.25" customHeight="1">
      <c r="B51" s="28" t="s">
        <v>276</v>
      </c>
      <c r="C51" s="28" t="s">
        <v>277</v>
      </c>
      <c r="D51" s="28" t="s">
        <v>277</v>
      </c>
      <c r="E51" s="28" t="s">
        <v>277</v>
      </c>
      <c r="F51" s="28" t="s">
        <v>278</v>
      </c>
      <c r="G51" s="28" t="s">
        <v>278</v>
      </c>
      <c r="H51" s="28" t="s">
        <v>278</v>
      </c>
      <c r="I51" s="28" t="s">
        <v>278</v>
      </c>
      <c r="J51" s="28" t="s">
        <v>279</v>
      </c>
      <c r="K51" s="28" t="s">
        <v>280</v>
      </c>
      <c r="L51" s="28" t="s">
        <v>280</v>
      </c>
      <c r="M51" s="28" t="s">
        <v>280</v>
      </c>
      <c r="N51" s="28" t="s">
        <v>280</v>
      </c>
      <c r="O51" s="42">
        <v>1501000.0</v>
      </c>
      <c r="P51" s="42">
        <v>1489080.0</v>
      </c>
      <c r="Q51" s="138">
        <f t="shared" ref="Q51:Q63" si="14">(P51-O51)/O51</f>
        <v>-0.007941372418</v>
      </c>
      <c r="R51" s="44">
        <f t="shared" si="1"/>
        <v>1489080</v>
      </c>
      <c r="S51" s="42">
        <f>S11*0.07</f>
        <v>3970100.47</v>
      </c>
      <c r="T51" s="138">
        <f t="shared" ref="T51:T63" si="15">(S51-R51)/R51</f>
        <v>1.666143169</v>
      </c>
      <c r="U51" s="23" t="s">
        <v>282</v>
      </c>
      <c r="V51" s="26" t="s">
        <v>54</v>
      </c>
    </row>
    <row r="52" ht="11.25" customHeight="1">
      <c r="B52" s="28" t="s">
        <v>284</v>
      </c>
      <c r="C52" s="28" t="s">
        <v>285</v>
      </c>
      <c r="D52" s="28" t="s">
        <v>285</v>
      </c>
      <c r="E52" s="28" t="s">
        <v>285</v>
      </c>
      <c r="F52" s="28" t="s">
        <v>285</v>
      </c>
      <c r="G52" s="28" t="s">
        <v>285</v>
      </c>
      <c r="H52" s="28" t="s">
        <v>285</v>
      </c>
      <c r="I52" s="28" t="s">
        <v>285</v>
      </c>
      <c r="J52" s="28" t="s">
        <v>285</v>
      </c>
      <c r="K52" s="28" t="s">
        <v>285</v>
      </c>
      <c r="L52" s="28" t="s">
        <v>285</v>
      </c>
      <c r="M52" s="28" t="s">
        <v>285</v>
      </c>
      <c r="N52" s="28" t="s">
        <v>285</v>
      </c>
      <c r="O52" s="42">
        <v>48900.0</v>
      </c>
      <c r="P52" s="42">
        <v>62442.8</v>
      </c>
      <c r="Q52" s="138">
        <f t="shared" si="14"/>
        <v>0.2769488753</v>
      </c>
      <c r="R52" s="44">
        <f t="shared" si="1"/>
        <v>62442.8</v>
      </c>
      <c r="S52" s="42">
        <v>70000.0</v>
      </c>
      <c r="T52" s="138">
        <f t="shared" si="15"/>
        <v>0.121025963</v>
      </c>
      <c r="U52" s="24" t="s">
        <v>287</v>
      </c>
      <c r="V52" s="26" t="s">
        <v>66</v>
      </c>
    </row>
    <row r="53" ht="11.25" customHeight="1">
      <c r="B53" s="28" t="s">
        <v>288</v>
      </c>
      <c r="C53" s="28" t="s">
        <v>289</v>
      </c>
      <c r="D53" s="28" t="s">
        <v>290</v>
      </c>
      <c r="E53" s="28" t="s">
        <v>291</v>
      </c>
      <c r="F53" s="49">
        <v>0.0</v>
      </c>
      <c r="G53" s="28" t="s">
        <v>292</v>
      </c>
      <c r="H53" s="28" t="s">
        <v>293</v>
      </c>
      <c r="I53" s="28" t="s">
        <v>294</v>
      </c>
      <c r="J53" s="28" t="s">
        <v>295</v>
      </c>
      <c r="K53" s="28" t="s">
        <v>296</v>
      </c>
      <c r="L53" s="28" t="s">
        <v>297</v>
      </c>
      <c r="M53" s="28" t="s">
        <v>298</v>
      </c>
      <c r="N53" s="49">
        <v>0.0</v>
      </c>
      <c r="O53" s="42">
        <v>26860.69</v>
      </c>
      <c r="P53" s="42">
        <v>46203.0</v>
      </c>
      <c r="Q53" s="138">
        <f t="shared" si="14"/>
        <v>0.7200972872</v>
      </c>
      <c r="R53" s="44">
        <f t="shared" si="1"/>
        <v>46203</v>
      </c>
      <c r="S53" s="42">
        <v>50000.0</v>
      </c>
      <c r="T53" s="138">
        <f t="shared" si="15"/>
        <v>0.08218081077</v>
      </c>
      <c r="U53" s="23" t="s">
        <v>300</v>
      </c>
      <c r="V53" s="26" t="s">
        <v>54</v>
      </c>
    </row>
    <row r="54" ht="11.25" customHeight="1">
      <c r="B54" s="28" t="s">
        <v>302</v>
      </c>
      <c r="C54" s="28" t="s">
        <v>303</v>
      </c>
      <c r="D54" s="28" t="s">
        <v>303</v>
      </c>
      <c r="E54" s="28" t="s">
        <v>303</v>
      </c>
      <c r="F54" s="28" t="s">
        <v>304</v>
      </c>
      <c r="G54" s="28" t="s">
        <v>305</v>
      </c>
      <c r="H54" s="28" t="s">
        <v>305</v>
      </c>
      <c r="I54" s="28" t="s">
        <v>305</v>
      </c>
      <c r="J54" s="28" t="s">
        <v>305</v>
      </c>
      <c r="K54" s="28" t="s">
        <v>305</v>
      </c>
      <c r="L54" s="28" t="s">
        <v>305</v>
      </c>
      <c r="M54" s="28" t="s">
        <v>305</v>
      </c>
      <c r="N54" s="28" t="s">
        <v>305</v>
      </c>
      <c r="O54" s="42">
        <v>1073175.45</v>
      </c>
      <c r="P54" s="42">
        <v>888553.19</v>
      </c>
      <c r="Q54" s="138">
        <f t="shared" si="14"/>
        <v>-0.1720336223</v>
      </c>
      <c r="R54" s="44">
        <f t="shared" si="1"/>
        <v>888553.19</v>
      </c>
      <c r="S54" s="42">
        <v>1000000.0</v>
      </c>
      <c r="T54" s="138">
        <f t="shared" si="15"/>
        <v>0.1254250294</v>
      </c>
      <c r="V54" s="26" t="s">
        <v>54</v>
      </c>
    </row>
    <row r="55" ht="11.25" customHeight="1">
      <c r="B55" s="28" t="s">
        <v>306</v>
      </c>
      <c r="C55" s="28" t="s">
        <v>307</v>
      </c>
      <c r="D55" s="28" t="s">
        <v>308</v>
      </c>
      <c r="E55" s="28" t="s">
        <v>308</v>
      </c>
      <c r="F55" s="28" t="s">
        <v>308</v>
      </c>
      <c r="G55" s="28" t="s">
        <v>309</v>
      </c>
      <c r="H55" s="218">
        <v>17400.0</v>
      </c>
      <c r="I55" s="28" t="s">
        <v>310</v>
      </c>
      <c r="J55" s="28" t="s">
        <v>308</v>
      </c>
      <c r="K55" s="28" t="s">
        <v>308</v>
      </c>
      <c r="L55" s="28" t="s">
        <v>311</v>
      </c>
      <c r="M55" s="28" t="s">
        <v>312</v>
      </c>
      <c r="N55" s="28" t="s">
        <v>308</v>
      </c>
      <c r="O55" s="42">
        <v>181803.23</v>
      </c>
      <c r="P55" s="42">
        <v>232100.0</v>
      </c>
      <c r="Q55" s="138">
        <f t="shared" si="14"/>
        <v>0.2766549857</v>
      </c>
      <c r="R55" s="44">
        <f t="shared" si="1"/>
        <v>232100</v>
      </c>
      <c r="S55" s="335">
        <v>150000.0</v>
      </c>
      <c r="T55" s="138">
        <f t="shared" si="15"/>
        <v>-0.3537268419</v>
      </c>
      <c r="U55" s="24" t="s">
        <v>314</v>
      </c>
      <c r="V55" s="26" t="s">
        <v>66</v>
      </c>
    </row>
    <row r="56" ht="11.25" customHeight="1">
      <c r="B56" s="28" t="s">
        <v>315</v>
      </c>
      <c r="C56" s="28" t="s">
        <v>317</v>
      </c>
      <c r="D56" s="28" t="s">
        <v>318</v>
      </c>
      <c r="E56" s="28" t="s">
        <v>319</v>
      </c>
      <c r="F56" s="28" t="s">
        <v>320</v>
      </c>
      <c r="G56" s="28" t="s">
        <v>321</v>
      </c>
      <c r="H56" s="28" t="s">
        <v>322</v>
      </c>
      <c r="I56" s="28" t="s">
        <v>323</v>
      </c>
      <c r="J56" s="28" t="s">
        <v>324</v>
      </c>
      <c r="K56" s="28" t="s">
        <v>325</v>
      </c>
      <c r="L56" s="28" t="s">
        <v>326</v>
      </c>
      <c r="M56" s="28" t="s">
        <v>327</v>
      </c>
      <c r="N56" s="28" t="s">
        <v>328</v>
      </c>
      <c r="O56" s="42">
        <v>947609.07</v>
      </c>
      <c r="P56" s="42">
        <v>1076764.47</v>
      </c>
      <c r="Q56" s="138">
        <f t="shared" si="14"/>
        <v>0.1362960783</v>
      </c>
      <c r="R56" s="44">
        <f t="shared" si="1"/>
        <v>1076764.47</v>
      </c>
      <c r="S56" s="335">
        <v>500000.0</v>
      </c>
      <c r="T56" s="138">
        <f t="shared" si="15"/>
        <v>-0.5356458966</v>
      </c>
      <c r="U56" s="24" t="s">
        <v>330</v>
      </c>
      <c r="V56" s="26" t="s">
        <v>66</v>
      </c>
    </row>
    <row r="57" ht="11.25" customHeight="1">
      <c r="B57" s="28" t="s">
        <v>331</v>
      </c>
      <c r="C57" s="28" t="s">
        <v>332</v>
      </c>
      <c r="D57" s="28" t="s">
        <v>332</v>
      </c>
      <c r="E57" s="28" t="s">
        <v>332</v>
      </c>
      <c r="F57" s="28" t="s">
        <v>332</v>
      </c>
      <c r="G57" s="28" t="s">
        <v>332</v>
      </c>
      <c r="H57" s="28" t="s">
        <v>332</v>
      </c>
      <c r="I57" s="28" t="s">
        <v>332</v>
      </c>
      <c r="J57" s="28" t="s">
        <v>332</v>
      </c>
      <c r="K57" s="28" t="s">
        <v>332</v>
      </c>
      <c r="L57" s="28" t="s">
        <v>332</v>
      </c>
      <c r="M57" s="28" t="s">
        <v>332</v>
      </c>
      <c r="N57" s="28" t="s">
        <v>332</v>
      </c>
      <c r="O57" s="42">
        <v>4320000.0</v>
      </c>
      <c r="P57" s="42">
        <v>4246835.97</v>
      </c>
      <c r="Q57" s="138">
        <f t="shared" si="14"/>
        <v>-0.01693611806</v>
      </c>
      <c r="R57" s="44">
        <f t="shared" si="1"/>
        <v>4246835.97</v>
      </c>
      <c r="S57" s="42">
        <v>5000000.0</v>
      </c>
      <c r="T57" s="138">
        <f t="shared" si="15"/>
        <v>0.1773470968</v>
      </c>
      <c r="U57" s="23" t="s">
        <v>197</v>
      </c>
      <c r="V57" s="26" t="s">
        <v>58</v>
      </c>
      <c r="W57" s="336"/>
    </row>
    <row r="58" ht="11.25" customHeight="1">
      <c r="B58" s="28" t="s">
        <v>334</v>
      </c>
      <c r="C58" s="28" t="s">
        <v>335</v>
      </c>
      <c r="D58" s="28" t="s">
        <v>336</v>
      </c>
      <c r="E58" s="28" t="s">
        <v>337</v>
      </c>
      <c r="F58" s="28" t="s">
        <v>338</v>
      </c>
      <c r="G58" s="28" t="s">
        <v>339</v>
      </c>
      <c r="H58" s="28" t="s">
        <v>340</v>
      </c>
      <c r="I58" s="28" t="s">
        <v>341</v>
      </c>
      <c r="J58" s="28" t="s">
        <v>342</v>
      </c>
      <c r="K58" s="28" t="s">
        <v>343</v>
      </c>
      <c r="L58" s="28" t="s">
        <v>344</v>
      </c>
      <c r="M58" s="28" t="s">
        <v>345</v>
      </c>
      <c r="N58" s="28" t="s">
        <v>346</v>
      </c>
      <c r="O58" s="42">
        <v>160240.08</v>
      </c>
      <c r="P58" s="42">
        <v>382603.73</v>
      </c>
      <c r="Q58" s="138">
        <f t="shared" si="14"/>
        <v>1.387690583</v>
      </c>
      <c r="R58" s="44">
        <f t="shared" si="1"/>
        <v>382603.73</v>
      </c>
      <c r="S58" s="42">
        <v>100000.0</v>
      </c>
      <c r="T58" s="138">
        <f t="shared" si="15"/>
        <v>-0.7386329715</v>
      </c>
      <c r="U58" s="23" t="s">
        <v>347</v>
      </c>
      <c r="V58" s="26" t="s">
        <v>54</v>
      </c>
    </row>
    <row r="59" ht="11.25" customHeight="1">
      <c r="B59" s="28" t="s">
        <v>348</v>
      </c>
      <c r="C59" s="49">
        <v>0.0</v>
      </c>
      <c r="D59" s="49">
        <v>0.0</v>
      </c>
      <c r="E59" s="49">
        <v>0.0</v>
      </c>
      <c r="F59" s="28" t="s">
        <v>240</v>
      </c>
      <c r="G59" s="49">
        <v>0.0</v>
      </c>
      <c r="H59" s="49">
        <v>0.0</v>
      </c>
      <c r="I59" s="28" t="s">
        <v>349</v>
      </c>
      <c r="J59" s="28" t="s">
        <v>350</v>
      </c>
      <c r="K59" s="49">
        <v>0.0</v>
      </c>
      <c r="L59" s="49">
        <v>0.0</v>
      </c>
      <c r="M59" s="28" t="s">
        <v>351</v>
      </c>
      <c r="N59" s="49">
        <v>0.0</v>
      </c>
      <c r="O59" s="42">
        <v>28300.0</v>
      </c>
      <c r="P59" s="42">
        <v>43708.0</v>
      </c>
      <c r="Q59" s="138">
        <f t="shared" si="14"/>
        <v>0.5444522968</v>
      </c>
      <c r="R59" s="44">
        <f t="shared" si="1"/>
        <v>43708</v>
      </c>
      <c r="S59" s="42">
        <v>100000.0</v>
      </c>
      <c r="T59" s="138">
        <f t="shared" si="15"/>
        <v>1.28791068</v>
      </c>
      <c r="U59" s="23" t="s">
        <v>352</v>
      </c>
      <c r="V59" s="26" t="s">
        <v>58</v>
      </c>
    </row>
    <row r="60" ht="11.25" customHeight="1">
      <c r="B60" s="338" t="s">
        <v>353</v>
      </c>
      <c r="C60" s="49">
        <v>0.0</v>
      </c>
      <c r="D60" s="49">
        <v>0.0</v>
      </c>
      <c r="E60" s="49">
        <v>0.0</v>
      </c>
      <c r="F60" s="49">
        <v>0.0</v>
      </c>
      <c r="G60" s="49">
        <v>0.0</v>
      </c>
      <c r="H60" s="49">
        <v>0.0</v>
      </c>
      <c r="I60" s="49">
        <v>0.0</v>
      </c>
      <c r="J60" s="28" t="s">
        <v>355</v>
      </c>
      <c r="K60" s="28" t="s">
        <v>355</v>
      </c>
      <c r="L60" s="28" t="s">
        <v>355</v>
      </c>
      <c r="M60" s="28" t="s">
        <v>355</v>
      </c>
      <c r="N60" s="28" t="s">
        <v>355</v>
      </c>
      <c r="O60" s="42">
        <v>2925000.0</v>
      </c>
      <c r="P60" s="42">
        <v>3347287.18</v>
      </c>
      <c r="Q60" s="138">
        <f t="shared" si="14"/>
        <v>0.1443716855</v>
      </c>
      <c r="R60" s="44">
        <f t="shared" si="1"/>
        <v>3347287.18</v>
      </c>
      <c r="S60" s="42">
        <f>S11*0.07</f>
        <v>3970100.47</v>
      </c>
      <c r="T60" s="138">
        <f t="shared" si="15"/>
        <v>0.1860650899</v>
      </c>
      <c r="U60" s="23" t="s">
        <v>359</v>
      </c>
      <c r="V60" s="26" t="s">
        <v>54</v>
      </c>
    </row>
    <row r="61" ht="11.25" customHeight="1">
      <c r="B61" s="13" t="s">
        <v>360</v>
      </c>
      <c r="C61" s="13" t="s">
        <v>361</v>
      </c>
      <c r="D61" s="13" t="s">
        <v>362</v>
      </c>
      <c r="E61" s="13" t="s">
        <v>363</v>
      </c>
      <c r="F61" s="13" t="s">
        <v>364</v>
      </c>
      <c r="G61" s="13" t="s">
        <v>365</v>
      </c>
      <c r="H61" s="13" t="s">
        <v>366</v>
      </c>
      <c r="I61" s="13" t="s">
        <v>367</v>
      </c>
      <c r="J61" s="13" t="s">
        <v>368</v>
      </c>
      <c r="K61" s="13" t="s">
        <v>369</v>
      </c>
      <c r="L61" s="13" t="s">
        <v>370</v>
      </c>
      <c r="M61" s="13" t="s">
        <v>371</v>
      </c>
      <c r="N61" s="13" t="s">
        <v>372</v>
      </c>
      <c r="O61" s="105">
        <v>1.121288855E7</v>
      </c>
      <c r="P61" s="105">
        <v>1.181557834E7</v>
      </c>
      <c r="Q61" s="18">
        <f t="shared" si="14"/>
        <v>0.05374973517</v>
      </c>
      <c r="R61" s="44">
        <f t="shared" si="1"/>
        <v>11815578.34</v>
      </c>
      <c r="S61" s="105">
        <f>SUM(S51:S60)</f>
        <v>14910200.94</v>
      </c>
      <c r="T61" s="18">
        <f t="shared" si="15"/>
        <v>0.2619103789</v>
      </c>
      <c r="V61" s="16"/>
    </row>
    <row r="62" ht="11.25" customHeight="1">
      <c r="B62" s="13" t="s">
        <v>123</v>
      </c>
      <c r="C62" s="13" t="s">
        <v>374</v>
      </c>
      <c r="D62" s="13" t="s">
        <v>375</v>
      </c>
      <c r="E62" s="13" t="s">
        <v>376</v>
      </c>
      <c r="F62" s="13" t="s">
        <v>377</v>
      </c>
      <c r="G62" s="13" t="s">
        <v>378</v>
      </c>
      <c r="H62" s="13" t="s">
        <v>379</v>
      </c>
      <c r="I62" s="13" t="s">
        <v>380</v>
      </c>
      <c r="J62" s="13" t="s">
        <v>381</v>
      </c>
      <c r="K62" s="13" t="s">
        <v>382</v>
      </c>
      <c r="L62" s="13" t="s">
        <v>383</v>
      </c>
      <c r="M62" s="13" t="s">
        <v>384</v>
      </c>
      <c r="N62" s="13" t="s">
        <v>385</v>
      </c>
      <c r="O62" s="105">
        <v>-781819.7</v>
      </c>
      <c r="P62" s="105">
        <v>-3009202.6</v>
      </c>
      <c r="Q62" s="18">
        <f t="shared" si="14"/>
        <v>2.848972596</v>
      </c>
      <c r="R62" s="44">
        <f t="shared" si="1"/>
        <v>-3009202.6</v>
      </c>
      <c r="S62" s="105">
        <f>S46-S61</f>
        <v>4516424.77</v>
      </c>
      <c r="T62" s="18">
        <f t="shared" si="15"/>
        <v>-2.500870952</v>
      </c>
      <c r="V62" s="16"/>
    </row>
    <row r="63" ht="11.25" customHeight="1">
      <c r="B63" s="13" t="s">
        <v>131</v>
      </c>
      <c r="C63" s="13" t="s">
        <v>386</v>
      </c>
      <c r="D63" s="13" t="s">
        <v>387</v>
      </c>
      <c r="E63" s="13" t="s">
        <v>388</v>
      </c>
      <c r="F63" s="13" t="s">
        <v>389</v>
      </c>
      <c r="G63" s="13" t="s">
        <v>390</v>
      </c>
      <c r="H63" s="13" t="s">
        <v>391</v>
      </c>
      <c r="I63" s="13" t="s">
        <v>392</v>
      </c>
      <c r="J63" s="13" t="s">
        <v>393</v>
      </c>
      <c r="K63" s="13" t="s">
        <v>394</v>
      </c>
      <c r="L63" s="13" t="s">
        <v>395</v>
      </c>
      <c r="M63" s="13" t="s">
        <v>396</v>
      </c>
      <c r="N63" s="13" t="s">
        <v>389</v>
      </c>
      <c r="O63" s="18">
        <v>-0.02</v>
      </c>
      <c r="P63" s="18">
        <v>-0.08</v>
      </c>
      <c r="Q63" s="18">
        <f t="shared" si="14"/>
        <v>3</v>
      </c>
      <c r="R63" s="191">
        <f t="shared" si="1"/>
        <v>-0.08</v>
      </c>
      <c r="S63" s="18">
        <f>S62/S11</f>
        <v>0.07963267839</v>
      </c>
      <c r="T63" s="18">
        <f t="shared" si="15"/>
        <v>-1.99540848</v>
      </c>
      <c r="V63" s="16"/>
    </row>
    <row r="64" ht="11.25" customHeight="1">
      <c r="O64" s="1"/>
      <c r="P64" s="1"/>
      <c r="Q64" s="3"/>
      <c r="R64" s="44" t="str">
        <f t="shared" si="1"/>
        <v/>
      </c>
      <c r="S64" s="1"/>
      <c r="T64" s="3"/>
    </row>
    <row r="65" ht="15.75" customHeight="1">
      <c r="B65" s="9" t="s">
        <v>397</v>
      </c>
      <c r="O65" s="10"/>
      <c r="P65" s="10"/>
      <c r="Q65" s="11"/>
      <c r="R65" s="44" t="str">
        <f t="shared" si="1"/>
        <v/>
      </c>
      <c r="S65" s="10"/>
      <c r="T65" s="11"/>
    </row>
    <row r="66" ht="11.25" customHeight="1">
      <c r="B66" s="13"/>
      <c r="C66" s="13" t="s">
        <v>11</v>
      </c>
      <c r="D66" s="13" t="s">
        <v>12</v>
      </c>
      <c r="E66" s="13" t="s">
        <v>13</v>
      </c>
      <c r="F66" s="13" t="s">
        <v>14</v>
      </c>
      <c r="G66" s="13" t="s">
        <v>15</v>
      </c>
      <c r="H66" s="13" t="s">
        <v>16</v>
      </c>
      <c r="I66" s="13" t="s">
        <v>17</v>
      </c>
      <c r="J66" s="13" t="s">
        <v>18</v>
      </c>
      <c r="K66" s="13" t="s">
        <v>19</v>
      </c>
      <c r="L66" s="13" t="s">
        <v>20</v>
      </c>
      <c r="M66" s="13" t="s">
        <v>21</v>
      </c>
      <c r="N66" s="13" t="s">
        <v>22</v>
      </c>
      <c r="O66" s="17">
        <v>2024.0</v>
      </c>
      <c r="P66" s="17">
        <v>2025.0</v>
      </c>
      <c r="Q66" s="18"/>
      <c r="R66" s="23">
        <f t="shared" si="1"/>
        <v>2025</v>
      </c>
      <c r="S66" s="17"/>
      <c r="T66" s="18"/>
      <c r="V66" s="16"/>
    </row>
    <row r="67" ht="11.25" customHeight="1">
      <c r="B67" s="28" t="s">
        <v>398</v>
      </c>
      <c r="C67" s="28" t="s">
        <v>399</v>
      </c>
      <c r="D67" s="28" t="s">
        <v>400</v>
      </c>
      <c r="E67" s="28" t="s">
        <v>401</v>
      </c>
      <c r="F67" s="28" t="s">
        <v>402</v>
      </c>
      <c r="G67" s="28" t="s">
        <v>403</v>
      </c>
      <c r="H67" s="28" t="s">
        <v>404</v>
      </c>
      <c r="I67" s="28" t="s">
        <v>405</v>
      </c>
      <c r="J67" s="28" t="s">
        <v>406</v>
      </c>
      <c r="K67" s="28" t="s">
        <v>407</v>
      </c>
      <c r="L67" s="28" t="s">
        <v>408</v>
      </c>
      <c r="M67" s="28" t="s">
        <v>409</v>
      </c>
      <c r="N67" s="28" t="s">
        <v>410</v>
      </c>
      <c r="O67" s="42">
        <v>11867.7</v>
      </c>
      <c r="P67" s="42">
        <v>11860.0</v>
      </c>
      <c r="Q67" s="138">
        <f t="shared" ref="Q67:Q72" si="16">(P67-O67)/O67</f>
        <v>-0.0006488199061</v>
      </c>
      <c r="R67" s="44">
        <f t="shared" si="1"/>
        <v>11860</v>
      </c>
      <c r="S67" s="42">
        <f>S11/S69</f>
        <v>15754.36694</v>
      </c>
      <c r="T67" s="138">
        <f t="shared" ref="T67:T72" si="17">(S67-R67)/R67</f>
        <v>0.3283614624</v>
      </c>
      <c r="V67" s="16"/>
    </row>
    <row r="68" ht="11.25" customHeight="1">
      <c r="B68" s="28" t="s">
        <v>411</v>
      </c>
      <c r="C68" s="28" t="s">
        <v>412</v>
      </c>
      <c r="D68" s="28" t="s">
        <v>413</v>
      </c>
      <c r="E68" s="28" t="s">
        <v>414</v>
      </c>
      <c r="F68" s="28" t="s">
        <v>415</v>
      </c>
      <c r="G68" s="28" t="s">
        <v>416</v>
      </c>
      <c r="H68" s="28" t="s">
        <v>417</v>
      </c>
      <c r="I68" s="28" t="s">
        <v>418</v>
      </c>
      <c r="J68" s="28" t="s">
        <v>419</v>
      </c>
      <c r="K68" s="28" t="s">
        <v>420</v>
      </c>
      <c r="L68" s="28" t="s">
        <v>421</v>
      </c>
      <c r="M68" s="28" t="s">
        <v>422</v>
      </c>
      <c r="N68" s="28" t="s">
        <v>423</v>
      </c>
      <c r="O68" s="42">
        <v>1627.8</v>
      </c>
      <c r="P68" s="42">
        <v>957.9</v>
      </c>
      <c r="Q68" s="138">
        <f t="shared" si="16"/>
        <v>-0.4115370439</v>
      </c>
      <c r="R68" s="44">
        <f t="shared" si="1"/>
        <v>957.9</v>
      </c>
      <c r="S68" s="42">
        <f>S67*0.1</f>
        <v>1575.436694</v>
      </c>
      <c r="T68" s="138">
        <f t="shared" si="17"/>
        <v>0.6446776223</v>
      </c>
      <c r="V68" s="16"/>
    </row>
    <row r="69" ht="11.25" customHeight="1">
      <c r="B69" s="28" t="s">
        <v>426</v>
      </c>
      <c r="C69" s="28" t="s">
        <v>427</v>
      </c>
      <c r="D69" s="28" t="s">
        <v>428</v>
      </c>
      <c r="E69" s="28" t="s">
        <v>429</v>
      </c>
      <c r="F69" s="28" t="s">
        <v>430</v>
      </c>
      <c r="G69" s="28" t="s">
        <v>431</v>
      </c>
      <c r="H69" s="28" t="s">
        <v>432</v>
      </c>
      <c r="I69" s="28" t="s">
        <v>433</v>
      </c>
      <c r="J69" s="28" t="s">
        <v>434</v>
      </c>
      <c r="K69" s="28" t="s">
        <v>435</v>
      </c>
      <c r="L69" s="28" t="s">
        <v>436</v>
      </c>
      <c r="M69" s="28" t="s">
        <v>437</v>
      </c>
      <c r="N69" s="28" t="s">
        <v>438</v>
      </c>
      <c r="O69" s="42">
        <v>2764.56</v>
      </c>
      <c r="P69" s="42">
        <v>3017.22</v>
      </c>
      <c r="Q69" s="138">
        <f t="shared" si="16"/>
        <v>0.09139248199</v>
      </c>
      <c r="R69" s="44">
        <f t="shared" si="1"/>
        <v>3017.22</v>
      </c>
      <c r="S69" s="42">
        <v>3600.0</v>
      </c>
      <c r="T69" s="138">
        <f t="shared" si="17"/>
        <v>0.1931513115</v>
      </c>
      <c r="V69" s="16"/>
    </row>
    <row r="70" ht="11.25" customHeight="1">
      <c r="B70" s="28" t="s">
        <v>439</v>
      </c>
      <c r="C70" s="28" t="s">
        <v>440</v>
      </c>
      <c r="D70" s="28" t="s">
        <v>441</v>
      </c>
      <c r="E70" s="28" t="s">
        <v>442</v>
      </c>
      <c r="F70" s="28" t="s">
        <v>443</v>
      </c>
      <c r="G70" s="28" t="s">
        <v>444</v>
      </c>
      <c r="H70" s="28" t="s">
        <v>445</v>
      </c>
      <c r="I70" s="28" t="s">
        <v>446</v>
      </c>
      <c r="J70" s="28" t="s">
        <v>447</v>
      </c>
      <c r="K70" s="28" t="s">
        <v>448</v>
      </c>
      <c r="L70" s="28" t="s">
        <v>449</v>
      </c>
      <c r="M70" s="28" t="s">
        <v>450</v>
      </c>
      <c r="N70" s="28" t="s">
        <v>451</v>
      </c>
      <c r="O70" s="42">
        <v>682.08</v>
      </c>
      <c r="P70" s="42">
        <v>770.64</v>
      </c>
      <c r="Q70" s="138">
        <f t="shared" si="16"/>
        <v>0.1298381422</v>
      </c>
      <c r="R70" s="44">
        <f t="shared" si="1"/>
        <v>770.64</v>
      </c>
      <c r="S70" s="42">
        <f>S15/S67</f>
        <v>1062.505104</v>
      </c>
      <c r="T70" s="138">
        <f t="shared" si="17"/>
        <v>0.3787308005</v>
      </c>
      <c r="V70" s="16"/>
    </row>
    <row r="71" ht="11.25" customHeight="1">
      <c r="B71" s="28" t="s">
        <v>452</v>
      </c>
      <c r="C71" s="28" t="s">
        <v>453</v>
      </c>
      <c r="D71" s="28" t="s">
        <v>454</v>
      </c>
      <c r="E71" s="28" t="s">
        <v>455</v>
      </c>
      <c r="F71" s="28" t="s">
        <v>456</v>
      </c>
      <c r="G71" s="28" t="s">
        <v>457</v>
      </c>
      <c r="H71" s="28" t="s">
        <v>458</v>
      </c>
      <c r="I71" s="28" t="s">
        <v>459</v>
      </c>
      <c r="J71" s="28" t="s">
        <v>460</v>
      </c>
      <c r="K71" s="28" t="s">
        <v>461</v>
      </c>
      <c r="L71" s="28" t="s">
        <v>462</v>
      </c>
      <c r="M71" s="28" t="s">
        <v>463</v>
      </c>
      <c r="N71" s="28" t="s">
        <v>464</v>
      </c>
      <c r="O71" s="42">
        <v>2082.47</v>
      </c>
      <c r="P71" s="42">
        <v>2246.58</v>
      </c>
      <c r="Q71" s="138">
        <f t="shared" si="16"/>
        <v>0.07880545698</v>
      </c>
      <c r="R71" s="44">
        <f t="shared" si="1"/>
        <v>2246.58</v>
      </c>
      <c r="S71" s="42">
        <f>S69-S70</f>
        <v>2537.494896</v>
      </c>
      <c r="T71" s="138">
        <f t="shared" si="17"/>
        <v>0.1294923377</v>
      </c>
      <c r="V71" s="16"/>
    </row>
    <row r="72" ht="11.25" customHeight="1">
      <c r="B72" s="28" t="s">
        <v>465</v>
      </c>
      <c r="C72" s="28" t="s">
        <v>261</v>
      </c>
      <c r="D72" s="28" t="s">
        <v>187</v>
      </c>
      <c r="E72" s="28" t="s">
        <v>190</v>
      </c>
      <c r="F72" s="28" t="s">
        <v>217</v>
      </c>
      <c r="G72" s="28" t="s">
        <v>217</v>
      </c>
      <c r="H72" s="28" t="s">
        <v>187</v>
      </c>
      <c r="I72" s="28" t="s">
        <v>258</v>
      </c>
      <c r="J72" s="28" t="s">
        <v>189</v>
      </c>
      <c r="K72" s="28" t="s">
        <v>190</v>
      </c>
      <c r="L72" s="28" t="s">
        <v>189</v>
      </c>
      <c r="M72" s="28" t="s">
        <v>192</v>
      </c>
      <c r="N72" s="28" t="s">
        <v>185</v>
      </c>
      <c r="O72" s="138">
        <v>0.75</v>
      </c>
      <c r="P72" s="138">
        <v>0.74</v>
      </c>
      <c r="Q72" s="138">
        <f t="shared" si="16"/>
        <v>-0.01333333333</v>
      </c>
      <c r="R72" s="191">
        <f t="shared" si="1"/>
        <v>0.74</v>
      </c>
      <c r="S72" s="138">
        <f>S71/S69</f>
        <v>0.7048596933</v>
      </c>
      <c r="T72" s="138">
        <f t="shared" si="17"/>
        <v>-0.04748690093</v>
      </c>
      <c r="V72" s="16"/>
    </row>
    <row r="73" ht="11.25" customHeight="1">
      <c r="O73" s="1"/>
      <c r="P73" s="1"/>
      <c r="Q73" s="3"/>
      <c r="S73" s="1"/>
      <c r="T73" s="3"/>
    </row>
    <row r="74" ht="11.25" customHeight="1">
      <c r="O74" s="1"/>
      <c r="P74" s="1"/>
      <c r="Q74" s="3"/>
      <c r="S74" s="1"/>
      <c r="T74" s="3"/>
    </row>
    <row r="75" ht="11.25" customHeight="1">
      <c r="O75" s="1"/>
      <c r="P75" s="1"/>
      <c r="Q75" s="3"/>
      <c r="S75" s="1"/>
      <c r="T75" s="3"/>
    </row>
    <row r="76" ht="11.25" customHeight="1">
      <c r="O76" s="1"/>
      <c r="P76" s="1"/>
      <c r="Q76" s="3"/>
      <c r="S76" s="1"/>
      <c r="T76" s="3"/>
    </row>
    <row r="77" ht="11.25" customHeight="1">
      <c r="O77" s="1"/>
      <c r="P77" s="1"/>
      <c r="Q77" s="3"/>
      <c r="S77" s="1"/>
      <c r="T77" s="3"/>
    </row>
    <row r="78" ht="11.25" customHeight="1">
      <c r="O78" s="1"/>
      <c r="P78" s="1"/>
      <c r="Q78" s="3"/>
      <c r="S78" s="1"/>
      <c r="T78" s="3"/>
    </row>
    <row r="79" ht="11.25" customHeight="1">
      <c r="O79" s="1"/>
      <c r="P79" s="1"/>
      <c r="Q79" s="3"/>
      <c r="S79" s="1"/>
      <c r="T79" s="3"/>
    </row>
    <row r="80" ht="11.25" customHeight="1">
      <c r="O80" s="1"/>
      <c r="P80" s="1"/>
      <c r="Q80" s="3"/>
      <c r="S80" s="1"/>
      <c r="T80" s="3"/>
    </row>
    <row r="81" ht="11.25" customHeight="1">
      <c r="O81" s="1"/>
      <c r="P81" s="1"/>
      <c r="Q81" s="3"/>
      <c r="S81" s="1"/>
      <c r="T81" s="3"/>
    </row>
    <row r="82" ht="11.25" customHeight="1">
      <c r="O82" s="1"/>
      <c r="P82" s="1"/>
      <c r="Q82" s="3"/>
      <c r="S82" s="1"/>
      <c r="T82" s="3"/>
    </row>
    <row r="83" ht="11.25" customHeight="1">
      <c r="O83" s="1"/>
      <c r="P83" s="1"/>
      <c r="Q83" s="3"/>
      <c r="S83" s="1"/>
      <c r="T83" s="3"/>
    </row>
    <row r="84" ht="11.25" customHeight="1">
      <c r="O84" s="1"/>
      <c r="P84" s="1"/>
      <c r="Q84" s="3"/>
      <c r="S84" s="1"/>
      <c r="T84" s="3"/>
    </row>
    <row r="85" ht="11.25" customHeight="1">
      <c r="O85" s="1"/>
      <c r="P85" s="1"/>
      <c r="Q85" s="3"/>
      <c r="S85" s="1"/>
      <c r="T85" s="3"/>
    </row>
    <row r="86" ht="11.25" customHeight="1">
      <c r="O86" s="1"/>
      <c r="P86" s="1"/>
      <c r="Q86" s="3"/>
      <c r="S86" s="1"/>
      <c r="T86" s="3"/>
    </row>
    <row r="87" ht="11.25" customHeight="1">
      <c r="O87" s="1"/>
      <c r="P87" s="1"/>
      <c r="Q87" s="3"/>
      <c r="S87" s="1"/>
      <c r="T87" s="3"/>
    </row>
    <row r="88" ht="11.25" customHeight="1">
      <c r="O88" s="1"/>
      <c r="P88" s="1"/>
      <c r="Q88" s="3"/>
      <c r="S88" s="1"/>
      <c r="T88" s="3"/>
    </row>
    <row r="89" ht="11.25" customHeight="1">
      <c r="O89" s="1"/>
      <c r="P89" s="1"/>
      <c r="Q89" s="3"/>
      <c r="S89" s="1"/>
      <c r="T89" s="3"/>
    </row>
    <row r="90" ht="11.25" customHeight="1">
      <c r="O90" s="1"/>
      <c r="P90" s="1"/>
      <c r="Q90" s="3"/>
      <c r="S90" s="1"/>
      <c r="T90" s="3"/>
    </row>
    <row r="91" ht="11.25" customHeight="1">
      <c r="O91" s="1"/>
      <c r="P91" s="1"/>
      <c r="Q91" s="3"/>
      <c r="S91" s="1"/>
      <c r="T91" s="3"/>
    </row>
    <row r="92" ht="11.25" customHeight="1">
      <c r="O92" s="1"/>
      <c r="P92" s="1"/>
      <c r="Q92" s="3"/>
      <c r="S92" s="1"/>
      <c r="T92" s="3"/>
    </row>
    <row r="93" ht="11.25" customHeight="1">
      <c r="O93" s="1"/>
      <c r="P93" s="1"/>
      <c r="Q93" s="3"/>
      <c r="S93" s="1"/>
      <c r="T93" s="3"/>
    </row>
    <row r="94" ht="11.25" customHeight="1">
      <c r="O94" s="1"/>
      <c r="P94" s="1"/>
      <c r="Q94" s="3"/>
      <c r="S94" s="1"/>
      <c r="T94" s="3"/>
    </row>
    <row r="95" ht="11.25" customHeight="1">
      <c r="O95" s="1"/>
      <c r="P95" s="1"/>
      <c r="Q95" s="3"/>
      <c r="S95" s="1"/>
      <c r="T95" s="3"/>
    </row>
    <row r="96" ht="11.25" customHeight="1">
      <c r="O96" s="1"/>
      <c r="P96" s="1"/>
      <c r="Q96" s="3"/>
      <c r="S96" s="1"/>
      <c r="T96" s="3"/>
    </row>
    <row r="97" ht="11.25" customHeight="1">
      <c r="O97" s="1"/>
      <c r="P97" s="1"/>
      <c r="Q97" s="3"/>
      <c r="S97" s="1"/>
      <c r="T97" s="3"/>
    </row>
    <row r="98" ht="11.25" customHeight="1">
      <c r="O98" s="1"/>
      <c r="P98" s="1"/>
      <c r="Q98" s="3"/>
      <c r="S98" s="1"/>
      <c r="T98" s="3"/>
    </row>
    <row r="99" ht="11.25" customHeight="1">
      <c r="O99" s="1"/>
      <c r="P99" s="1"/>
      <c r="Q99" s="3"/>
      <c r="S99" s="1"/>
      <c r="T99" s="3"/>
    </row>
    <row r="100" ht="11.25" customHeight="1">
      <c r="O100" s="1"/>
      <c r="P100" s="1"/>
      <c r="Q100" s="3"/>
      <c r="S100" s="1"/>
      <c r="T100" s="3"/>
    </row>
    <row r="101" ht="11.25" customHeight="1">
      <c r="O101" s="1"/>
      <c r="P101" s="1"/>
      <c r="Q101" s="3"/>
      <c r="S101" s="1"/>
      <c r="T101" s="3"/>
    </row>
    <row r="102" ht="11.25" customHeight="1">
      <c r="O102" s="1"/>
      <c r="P102" s="1"/>
      <c r="Q102" s="3"/>
      <c r="S102" s="1"/>
      <c r="T102" s="3"/>
    </row>
    <row r="103" ht="11.25" customHeight="1">
      <c r="O103" s="1"/>
      <c r="P103" s="1"/>
      <c r="Q103" s="3"/>
      <c r="S103" s="1"/>
      <c r="T103" s="3"/>
    </row>
    <row r="104" ht="11.25" customHeight="1">
      <c r="O104" s="1"/>
      <c r="P104" s="1"/>
      <c r="Q104" s="3"/>
      <c r="S104" s="1"/>
      <c r="T104" s="3"/>
    </row>
    <row r="105" ht="11.25" customHeight="1">
      <c r="O105" s="1"/>
      <c r="P105" s="1"/>
      <c r="Q105" s="3"/>
      <c r="S105" s="1"/>
      <c r="T105" s="3"/>
    </row>
    <row r="106" ht="11.25" customHeight="1">
      <c r="O106" s="1"/>
      <c r="P106" s="1"/>
      <c r="Q106" s="3"/>
      <c r="S106" s="1"/>
      <c r="T106" s="3"/>
    </row>
    <row r="107" ht="11.25" customHeight="1">
      <c r="O107" s="1"/>
      <c r="P107" s="1"/>
      <c r="Q107" s="3"/>
      <c r="S107" s="1"/>
      <c r="T107" s="3"/>
    </row>
    <row r="108" ht="11.25" customHeight="1">
      <c r="O108" s="1"/>
      <c r="P108" s="1"/>
      <c r="Q108" s="3"/>
      <c r="S108" s="1"/>
      <c r="T108" s="3"/>
    </row>
    <row r="109" ht="11.25" customHeight="1">
      <c r="O109" s="1"/>
      <c r="P109" s="1"/>
      <c r="Q109" s="3"/>
      <c r="S109" s="1"/>
      <c r="T109" s="3"/>
    </row>
    <row r="110" ht="11.25" customHeight="1">
      <c r="O110" s="1"/>
      <c r="P110" s="1"/>
      <c r="Q110" s="3"/>
      <c r="S110" s="1"/>
      <c r="T110" s="3"/>
    </row>
    <row r="111" ht="11.25" customHeight="1">
      <c r="O111" s="1"/>
      <c r="P111" s="1"/>
      <c r="Q111" s="3"/>
      <c r="S111" s="1"/>
      <c r="T111" s="3"/>
    </row>
    <row r="112" ht="11.25" customHeight="1">
      <c r="O112" s="1"/>
      <c r="P112" s="1"/>
      <c r="Q112" s="3"/>
      <c r="S112" s="1"/>
      <c r="T112" s="3"/>
    </row>
    <row r="113" ht="11.25" customHeight="1">
      <c r="O113" s="1"/>
      <c r="P113" s="1"/>
      <c r="Q113" s="3"/>
      <c r="S113" s="1"/>
      <c r="T113" s="3"/>
    </row>
    <row r="114" ht="11.25" customHeight="1">
      <c r="O114" s="1"/>
      <c r="P114" s="1"/>
      <c r="Q114" s="3"/>
      <c r="S114" s="1"/>
      <c r="T114" s="3"/>
    </row>
    <row r="115" ht="11.25" customHeight="1">
      <c r="O115" s="1"/>
      <c r="P115" s="1"/>
      <c r="Q115" s="3"/>
      <c r="S115" s="1"/>
      <c r="T115" s="3"/>
    </row>
    <row r="116" ht="11.25" customHeight="1">
      <c r="O116" s="1"/>
      <c r="P116" s="1"/>
      <c r="Q116" s="3"/>
      <c r="S116" s="1"/>
      <c r="T116" s="3"/>
    </row>
    <row r="117" ht="11.25" customHeight="1">
      <c r="O117" s="1"/>
      <c r="P117" s="1"/>
      <c r="Q117" s="3"/>
      <c r="S117" s="1"/>
      <c r="T117" s="3"/>
    </row>
    <row r="118" ht="11.25" customHeight="1">
      <c r="O118" s="1"/>
      <c r="P118" s="1"/>
      <c r="Q118" s="3"/>
      <c r="S118" s="1"/>
      <c r="T118" s="3"/>
    </row>
    <row r="119" ht="11.25" customHeight="1">
      <c r="O119" s="1"/>
      <c r="P119" s="1"/>
      <c r="Q119" s="3"/>
      <c r="S119" s="1"/>
      <c r="T119" s="3"/>
    </row>
    <row r="120" ht="11.25" customHeight="1">
      <c r="O120" s="1"/>
      <c r="P120" s="1"/>
      <c r="Q120" s="3"/>
      <c r="S120" s="1"/>
      <c r="T120" s="3"/>
    </row>
    <row r="121" ht="11.25" customHeight="1">
      <c r="O121" s="1"/>
      <c r="P121" s="1"/>
      <c r="Q121" s="3"/>
      <c r="S121" s="1"/>
      <c r="T121" s="3"/>
    </row>
    <row r="122" ht="11.25" customHeight="1">
      <c r="O122" s="1"/>
      <c r="P122" s="1"/>
      <c r="Q122" s="3"/>
      <c r="S122" s="1"/>
      <c r="T122" s="3"/>
    </row>
    <row r="123" ht="11.25" customHeight="1">
      <c r="O123" s="1"/>
      <c r="P123" s="1"/>
      <c r="Q123" s="3"/>
      <c r="S123" s="1"/>
      <c r="T123" s="3"/>
    </row>
    <row r="124" ht="11.25" customHeight="1">
      <c r="O124" s="1"/>
      <c r="P124" s="1"/>
      <c r="Q124" s="3"/>
      <c r="S124" s="1"/>
      <c r="T124" s="3"/>
    </row>
    <row r="125" ht="11.25" customHeight="1">
      <c r="O125" s="1"/>
      <c r="P125" s="1"/>
      <c r="Q125" s="3"/>
      <c r="S125" s="1"/>
      <c r="T125" s="3"/>
    </row>
    <row r="126" ht="11.25" customHeight="1">
      <c r="O126" s="1"/>
      <c r="P126" s="1"/>
      <c r="Q126" s="3"/>
      <c r="S126" s="1"/>
      <c r="T126" s="3"/>
    </row>
    <row r="127" ht="11.25" customHeight="1">
      <c r="O127" s="1"/>
      <c r="P127" s="1"/>
      <c r="Q127" s="3"/>
      <c r="S127" s="1"/>
      <c r="T127" s="3"/>
    </row>
    <row r="128" ht="11.25" customHeight="1">
      <c r="O128" s="1"/>
      <c r="P128" s="1"/>
      <c r="Q128" s="3"/>
      <c r="S128" s="1"/>
      <c r="T128" s="3"/>
    </row>
    <row r="129" ht="11.25" customHeight="1">
      <c r="O129" s="1"/>
      <c r="P129" s="1"/>
      <c r="Q129" s="3"/>
      <c r="S129" s="1"/>
      <c r="T129" s="3"/>
    </row>
    <row r="130" ht="11.25" customHeight="1">
      <c r="O130" s="1"/>
      <c r="P130" s="1"/>
      <c r="Q130" s="3"/>
      <c r="S130" s="1"/>
      <c r="T130" s="3"/>
    </row>
    <row r="131" ht="11.25" customHeight="1">
      <c r="O131" s="1"/>
      <c r="P131" s="1"/>
      <c r="Q131" s="3"/>
      <c r="S131" s="1"/>
      <c r="T131" s="3"/>
    </row>
    <row r="132" ht="11.25" customHeight="1">
      <c r="O132" s="1"/>
      <c r="P132" s="1"/>
      <c r="Q132" s="3"/>
      <c r="S132" s="1"/>
      <c r="T132" s="3"/>
    </row>
    <row r="133" ht="11.25" customHeight="1">
      <c r="O133" s="1"/>
      <c r="P133" s="1"/>
      <c r="Q133" s="3"/>
      <c r="S133" s="1"/>
      <c r="T133" s="3"/>
    </row>
    <row r="134" ht="11.25" customHeight="1">
      <c r="O134" s="1"/>
      <c r="P134" s="1"/>
      <c r="Q134" s="3"/>
      <c r="S134" s="1"/>
      <c r="T134" s="3"/>
    </row>
    <row r="135" ht="11.25" customHeight="1">
      <c r="O135" s="1"/>
      <c r="P135" s="1"/>
      <c r="Q135" s="3"/>
      <c r="S135" s="1"/>
      <c r="T135" s="3"/>
    </row>
    <row r="136" ht="11.25" customHeight="1">
      <c r="O136" s="1"/>
      <c r="P136" s="1"/>
      <c r="Q136" s="3"/>
      <c r="S136" s="1"/>
      <c r="T136" s="3"/>
    </row>
    <row r="137" ht="11.25" customHeight="1">
      <c r="O137" s="1"/>
      <c r="P137" s="1"/>
      <c r="Q137" s="3"/>
      <c r="S137" s="1"/>
      <c r="T137" s="3"/>
    </row>
    <row r="138" ht="11.25" customHeight="1">
      <c r="O138" s="1"/>
      <c r="P138" s="1"/>
      <c r="Q138" s="3"/>
      <c r="S138" s="1"/>
      <c r="T138" s="3"/>
    </row>
    <row r="139" ht="11.25" customHeight="1">
      <c r="O139" s="1"/>
      <c r="P139" s="1"/>
      <c r="Q139" s="3"/>
      <c r="S139" s="1"/>
      <c r="T139" s="3"/>
    </row>
    <row r="140" ht="11.25" customHeight="1">
      <c r="O140" s="1"/>
      <c r="P140" s="1"/>
      <c r="Q140" s="3"/>
      <c r="S140" s="1"/>
      <c r="T140" s="3"/>
    </row>
    <row r="141" ht="11.25" customHeight="1">
      <c r="O141" s="1"/>
      <c r="P141" s="1"/>
      <c r="Q141" s="3"/>
      <c r="S141" s="1"/>
      <c r="T141" s="3"/>
    </row>
    <row r="142" ht="11.25" customHeight="1">
      <c r="O142" s="1"/>
      <c r="P142" s="1"/>
      <c r="Q142" s="3"/>
      <c r="S142" s="1"/>
      <c r="T142" s="3"/>
    </row>
    <row r="143" ht="11.25" customHeight="1">
      <c r="O143" s="1"/>
      <c r="P143" s="1"/>
      <c r="Q143" s="3"/>
      <c r="S143" s="1"/>
      <c r="T143" s="3"/>
    </row>
    <row r="144" ht="11.25" customHeight="1">
      <c r="O144" s="1"/>
      <c r="P144" s="1"/>
      <c r="Q144" s="3"/>
      <c r="S144" s="1"/>
      <c r="T144" s="3"/>
    </row>
    <row r="145" ht="11.25" customHeight="1">
      <c r="O145" s="1"/>
      <c r="P145" s="1"/>
      <c r="Q145" s="3"/>
      <c r="S145" s="1"/>
      <c r="T145" s="3"/>
    </row>
    <row r="146" ht="11.25" customHeight="1">
      <c r="O146" s="1"/>
      <c r="P146" s="1"/>
      <c r="Q146" s="3"/>
      <c r="S146" s="1"/>
      <c r="T146" s="3"/>
    </row>
    <row r="147" ht="11.25" customHeight="1">
      <c r="O147" s="1"/>
      <c r="P147" s="1"/>
      <c r="Q147" s="3"/>
      <c r="S147" s="1"/>
      <c r="T147" s="3"/>
    </row>
    <row r="148" ht="11.25" customHeight="1">
      <c r="O148" s="1"/>
      <c r="P148" s="1"/>
      <c r="Q148" s="3"/>
      <c r="S148" s="1"/>
      <c r="T148" s="3"/>
    </row>
    <row r="149" ht="11.25" customHeight="1">
      <c r="O149" s="1"/>
      <c r="P149" s="1"/>
      <c r="Q149" s="3"/>
      <c r="S149" s="1"/>
      <c r="T149" s="3"/>
    </row>
    <row r="150" ht="11.25" customHeight="1">
      <c r="O150" s="1"/>
      <c r="P150" s="1"/>
      <c r="Q150" s="3"/>
      <c r="S150" s="1"/>
      <c r="T150" s="3"/>
    </row>
    <row r="151" ht="11.25" customHeight="1">
      <c r="O151" s="1"/>
      <c r="P151" s="1"/>
      <c r="Q151" s="3"/>
      <c r="S151" s="1"/>
      <c r="T151" s="3"/>
    </row>
    <row r="152" ht="11.25" customHeight="1">
      <c r="O152" s="1"/>
      <c r="P152" s="1"/>
      <c r="Q152" s="3"/>
      <c r="S152" s="1"/>
      <c r="T152" s="3"/>
    </row>
    <row r="153" ht="11.25" customHeight="1">
      <c r="O153" s="1"/>
      <c r="P153" s="1"/>
      <c r="Q153" s="3"/>
      <c r="S153" s="1"/>
      <c r="T153" s="3"/>
    </row>
    <row r="154" ht="11.25" customHeight="1">
      <c r="O154" s="1"/>
      <c r="P154" s="1"/>
      <c r="Q154" s="3"/>
      <c r="S154" s="1"/>
      <c r="T154" s="3"/>
    </row>
    <row r="155" ht="11.25" customHeight="1">
      <c r="O155" s="1"/>
      <c r="P155" s="1"/>
      <c r="Q155" s="3"/>
      <c r="S155" s="1"/>
      <c r="T155" s="3"/>
    </row>
    <row r="156" ht="11.25" customHeight="1">
      <c r="O156" s="1"/>
      <c r="P156" s="1"/>
      <c r="Q156" s="3"/>
      <c r="S156" s="1"/>
      <c r="T156" s="3"/>
    </row>
    <row r="157" ht="11.25" customHeight="1">
      <c r="O157" s="1"/>
      <c r="P157" s="1"/>
      <c r="Q157" s="3"/>
      <c r="S157" s="1"/>
      <c r="T157" s="3"/>
    </row>
    <row r="158" ht="11.25" customHeight="1">
      <c r="O158" s="1"/>
      <c r="P158" s="1"/>
      <c r="Q158" s="3"/>
      <c r="S158" s="1"/>
      <c r="T158" s="3"/>
    </row>
    <row r="159" ht="11.25" customHeight="1">
      <c r="O159" s="1"/>
      <c r="P159" s="1"/>
      <c r="Q159" s="3"/>
      <c r="S159" s="1"/>
      <c r="T159" s="3"/>
    </row>
    <row r="160" ht="11.25" customHeight="1">
      <c r="O160" s="1"/>
      <c r="P160" s="1"/>
      <c r="Q160" s="3"/>
      <c r="S160" s="1"/>
      <c r="T160" s="3"/>
    </row>
    <row r="161" ht="11.25" customHeight="1">
      <c r="O161" s="1"/>
      <c r="P161" s="1"/>
      <c r="Q161" s="3"/>
      <c r="S161" s="1"/>
      <c r="T161" s="3"/>
    </row>
    <row r="162" ht="11.25" customHeight="1">
      <c r="O162" s="1"/>
      <c r="P162" s="1"/>
      <c r="Q162" s="3"/>
      <c r="S162" s="1"/>
      <c r="T162" s="3"/>
    </row>
    <row r="163" ht="11.25" customHeight="1">
      <c r="O163" s="1"/>
      <c r="P163" s="1"/>
      <c r="Q163" s="3"/>
      <c r="S163" s="1"/>
      <c r="T163" s="3"/>
    </row>
    <row r="164" ht="11.25" customHeight="1">
      <c r="O164" s="1"/>
      <c r="P164" s="1"/>
      <c r="Q164" s="3"/>
      <c r="S164" s="1"/>
      <c r="T164" s="3"/>
    </row>
    <row r="165" ht="11.25" customHeight="1">
      <c r="O165" s="1"/>
      <c r="P165" s="1"/>
      <c r="Q165" s="3"/>
      <c r="S165" s="1"/>
      <c r="T165" s="3"/>
    </row>
    <row r="166" ht="11.25" customHeight="1">
      <c r="O166" s="1"/>
      <c r="P166" s="1"/>
      <c r="Q166" s="3"/>
      <c r="S166" s="1"/>
      <c r="T166" s="3"/>
    </row>
    <row r="167" ht="11.25" customHeight="1">
      <c r="O167" s="1"/>
      <c r="P167" s="1"/>
      <c r="Q167" s="3"/>
      <c r="S167" s="1"/>
      <c r="T167" s="3"/>
    </row>
    <row r="168" ht="11.25" customHeight="1">
      <c r="O168" s="1"/>
      <c r="P168" s="1"/>
      <c r="Q168" s="3"/>
      <c r="S168" s="1"/>
      <c r="T168" s="3"/>
    </row>
    <row r="169" ht="11.25" customHeight="1">
      <c r="O169" s="1"/>
      <c r="P169" s="1"/>
      <c r="Q169" s="3"/>
      <c r="S169" s="1"/>
      <c r="T169" s="3"/>
    </row>
    <row r="170" ht="11.25" customHeight="1">
      <c r="O170" s="1"/>
      <c r="P170" s="1"/>
      <c r="Q170" s="3"/>
      <c r="S170" s="1"/>
      <c r="T170" s="3"/>
    </row>
    <row r="171" ht="11.25" customHeight="1">
      <c r="O171" s="1"/>
      <c r="P171" s="1"/>
      <c r="Q171" s="3"/>
      <c r="S171" s="1"/>
      <c r="T171" s="3"/>
    </row>
    <row r="172" ht="11.25" customHeight="1">
      <c r="O172" s="1"/>
      <c r="P172" s="1"/>
      <c r="Q172" s="3"/>
      <c r="S172" s="1"/>
      <c r="T172" s="3"/>
    </row>
    <row r="173" ht="11.25" customHeight="1">
      <c r="O173" s="1"/>
      <c r="P173" s="1"/>
      <c r="Q173" s="3"/>
      <c r="S173" s="1"/>
      <c r="T173" s="3"/>
    </row>
    <row r="174" ht="11.25" customHeight="1">
      <c r="O174" s="1"/>
      <c r="P174" s="1"/>
      <c r="Q174" s="3"/>
      <c r="S174" s="1"/>
      <c r="T174" s="3"/>
    </row>
    <row r="175" ht="11.25" customHeight="1">
      <c r="O175" s="1"/>
      <c r="P175" s="1"/>
      <c r="Q175" s="3"/>
      <c r="S175" s="1"/>
      <c r="T175" s="3"/>
    </row>
    <row r="176" ht="11.25" customHeight="1">
      <c r="O176" s="1"/>
      <c r="P176" s="1"/>
      <c r="Q176" s="3"/>
      <c r="S176" s="1"/>
      <c r="T176" s="3"/>
    </row>
    <row r="177" ht="11.25" customHeight="1">
      <c r="O177" s="1"/>
      <c r="P177" s="1"/>
      <c r="Q177" s="3"/>
      <c r="S177" s="1"/>
      <c r="T177" s="3"/>
    </row>
    <row r="178" ht="11.25" customHeight="1">
      <c r="O178" s="1"/>
      <c r="P178" s="1"/>
      <c r="Q178" s="3"/>
      <c r="S178" s="1"/>
      <c r="T178" s="3"/>
    </row>
    <row r="179" ht="11.25" customHeight="1">
      <c r="O179" s="1"/>
      <c r="P179" s="1"/>
      <c r="Q179" s="3"/>
      <c r="S179" s="1"/>
      <c r="T179" s="3"/>
    </row>
    <row r="180" ht="11.25" customHeight="1">
      <c r="O180" s="1"/>
      <c r="P180" s="1"/>
      <c r="Q180" s="3"/>
      <c r="S180" s="1"/>
      <c r="T180" s="3"/>
    </row>
    <row r="181" ht="11.25" customHeight="1">
      <c r="O181" s="1"/>
      <c r="P181" s="1"/>
      <c r="Q181" s="3"/>
      <c r="S181" s="1"/>
      <c r="T181" s="3"/>
    </row>
    <row r="182" ht="11.25" customHeight="1">
      <c r="O182" s="1"/>
      <c r="P182" s="1"/>
      <c r="Q182" s="3"/>
      <c r="S182" s="1"/>
      <c r="T182" s="3"/>
    </row>
    <row r="183" ht="11.25" customHeight="1">
      <c r="O183" s="1"/>
      <c r="P183" s="1"/>
      <c r="Q183" s="3"/>
      <c r="S183" s="1"/>
      <c r="T183" s="3"/>
    </row>
    <row r="184" ht="11.25" customHeight="1">
      <c r="O184" s="1"/>
      <c r="P184" s="1"/>
      <c r="Q184" s="3"/>
      <c r="S184" s="1"/>
      <c r="T184" s="3"/>
    </row>
    <row r="185" ht="11.25" customHeight="1">
      <c r="O185" s="1"/>
      <c r="P185" s="1"/>
      <c r="Q185" s="3"/>
      <c r="S185" s="1"/>
      <c r="T185" s="3"/>
    </row>
    <row r="186" ht="11.25" customHeight="1">
      <c r="O186" s="1"/>
      <c r="P186" s="1"/>
      <c r="Q186" s="3"/>
      <c r="S186" s="1"/>
      <c r="T186" s="3"/>
    </row>
    <row r="187" ht="11.25" customHeight="1">
      <c r="O187" s="1"/>
      <c r="P187" s="1"/>
      <c r="Q187" s="3"/>
      <c r="S187" s="1"/>
      <c r="T187" s="3"/>
    </row>
    <row r="188" ht="11.25" customHeight="1">
      <c r="O188" s="1"/>
      <c r="P188" s="1"/>
      <c r="Q188" s="3"/>
      <c r="S188" s="1"/>
      <c r="T188" s="3"/>
    </row>
    <row r="189" ht="11.25" customHeight="1">
      <c r="O189" s="1"/>
      <c r="P189" s="1"/>
      <c r="Q189" s="3"/>
      <c r="S189" s="1"/>
      <c r="T189" s="3"/>
    </row>
    <row r="190" ht="11.25" customHeight="1">
      <c r="O190" s="1"/>
      <c r="P190" s="1"/>
      <c r="Q190" s="3"/>
      <c r="S190" s="1"/>
      <c r="T190" s="3"/>
    </row>
    <row r="191" ht="11.25" customHeight="1">
      <c r="O191" s="1"/>
      <c r="P191" s="1"/>
      <c r="Q191" s="3"/>
      <c r="S191" s="1"/>
      <c r="T191" s="3"/>
    </row>
    <row r="192" ht="11.25" customHeight="1">
      <c r="O192" s="1"/>
      <c r="P192" s="1"/>
      <c r="Q192" s="3"/>
      <c r="S192" s="1"/>
      <c r="T192" s="3"/>
    </row>
    <row r="193" ht="11.25" customHeight="1">
      <c r="O193" s="1"/>
      <c r="P193" s="1"/>
      <c r="Q193" s="3"/>
      <c r="S193" s="1"/>
      <c r="T193" s="3"/>
    </row>
    <row r="194" ht="11.25" customHeight="1">
      <c r="O194" s="1"/>
      <c r="P194" s="1"/>
      <c r="Q194" s="3"/>
      <c r="S194" s="1"/>
      <c r="T194" s="3"/>
    </row>
    <row r="195" ht="11.25" customHeight="1">
      <c r="O195" s="1"/>
      <c r="P195" s="1"/>
      <c r="Q195" s="3"/>
      <c r="S195" s="1"/>
      <c r="T195" s="3"/>
    </row>
    <row r="196" ht="11.25" customHeight="1">
      <c r="O196" s="1"/>
      <c r="P196" s="1"/>
      <c r="Q196" s="3"/>
      <c r="S196" s="1"/>
      <c r="T196" s="3"/>
    </row>
    <row r="197" ht="11.25" customHeight="1">
      <c r="O197" s="1"/>
      <c r="P197" s="1"/>
      <c r="Q197" s="3"/>
      <c r="S197" s="1"/>
      <c r="T197" s="3"/>
    </row>
    <row r="198" ht="11.25" customHeight="1">
      <c r="O198" s="1"/>
      <c r="P198" s="1"/>
      <c r="Q198" s="3"/>
      <c r="S198" s="1"/>
      <c r="T198" s="3"/>
    </row>
    <row r="199" ht="11.25" customHeight="1">
      <c r="O199" s="1"/>
      <c r="P199" s="1"/>
      <c r="Q199" s="3"/>
      <c r="S199" s="1"/>
      <c r="T199" s="3"/>
    </row>
    <row r="200" ht="11.25" customHeight="1">
      <c r="O200" s="1"/>
      <c r="P200" s="1"/>
      <c r="Q200" s="3"/>
      <c r="S200" s="1"/>
      <c r="T200" s="3"/>
    </row>
    <row r="201" ht="11.25" customHeight="1">
      <c r="O201" s="1"/>
      <c r="P201" s="1"/>
      <c r="Q201" s="3"/>
      <c r="S201" s="1"/>
      <c r="T201" s="3"/>
    </row>
    <row r="202" ht="11.25" customHeight="1">
      <c r="O202" s="1"/>
      <c r="P202" s="1"/>
      <c r="Q202" s="3"/>
      <c r="S202" s="1"/>
      <c r="T202" s="3"/>
    </row>
    <row r="203" ht="11.25" customHeight="1">
      <c r="O203" s="1"/>
      <c r="P203" s="1"/>
      <c r="Q203" s="3"/>
      <c r="S203" s="1"/>
      <c r="T203" s="3"/>
    </row>
    <row r="204" ht="11.25" customHeight="1">
      <c r="O204" s="1"/>
      <c r="P204" s="1"/>
      <c r="Q204" s="3"/>
      <c r="S204" s="1"/>
      <c r="T204" s="3"/>
    </row>
    <row r="205" ht="11.25" customHeight="1">
      <c r="O205" s="1"/>
      <c r="P205" s="1"/>
      <c r="Q205" s="3"/>
      <c r="S205" s="1"/>
      <c r="T205" s="3"/>
    </row>
    <row r="206" ht="11.25" customHeight="1">
      <c r="O206" s="1"/>
      <c r="P206" s="1"/>
      <c r="Q206" s="3"/>
      <c r="S206" s="1"/>
      <c r="T206" s="3"/>
    </row>
    <row r="207" ht="11.25" customHeight="1">
      <c r="O207" s="1"/>
      <c r="P207" s="1"/>
      <c r="Q207" s="3"/>
      <c r="S207" s="1"/>
      <c r="T207" s="3"/>
    </row>
    <row r="208" ht="11.25" customHeight="1">
      <c r="O208" s="1"/>
      <c r="P208" s="1"/>
      <c r="Q208" s="3"/>
      <c r="S208" s="1"/>
      <c r="T208" s="3"/>
    </row>
    <row r="209" ht="11.25" customHeight="1">
      <c r="O209" s="1"/>
      <c r="P209" s="1"/>
      <c r="Q209" s="3"/>
      <c r="S209" s="1"/>
      <c r="T209" s="3"/>
    </row>
    <row r="210" ht="11.25" customHeight="1">
      <c r="O210" s="1"/>
      <c r="P210" s="1"/>
      <c r="Q210" s="3"/>
      <c r="S210" s="1"/>
      <c r="T210" s="3"/>
    </row>
    <row r="211" ht="11.25" customHeight="1">
      <c r="O211" s="1"/>
      <c r="P211" s="1"/>
      <c r="Q211" s="3"/>
      <c r="S211" s="1"/>
      <c r="T211" s="3"/>
    </row>
    <row r="212" ht="11.25" customHeight="1">
      <c r="O212" s="1"/>
      <c r="P212" s="1"/>
      <c r="Q212" s="3"/>
      <c r="S212" s="1"/>
      <c r="T212" s="3"/>
    </row>
    <row r="213" ht="11.25" customHeight="1">
      <c r="O213" s="1"/>
      <c r="P213" s="1"/>
      <c r="Q213" s="3"/>
      <c r="S213" s="1"/>
      <c r="T213" s="3"/>
    </row>
    <row r="214" ht="11.25" customHeight="1">
      <c r="O214" s="1"/>
      <c r="P214" s="1"/>
      <c r="Q214" s="3"/>
      <c r="S214" s="1"/>
      <c r="T214" s="3"/>
    </row>
    <row r="215" ht="11.25" customHeight="1">
      <c r="O215" s="1"/>
      <c r="P215" s="1"/>
      <c r="Q215" s="3"/>
      <c r="S215" s="1"/>
      <c r="T215" s="3"/>
    </row>
    <row r="216" ht="11.25" customHeight="1">
      <c r="O216" s="1"/>
      <c r="P216" s="1"/>
      <c r="Q216" s="3"/>
      <c r="S216" s="1"/>
      <c r="T216" s="3"/>
    </row>
    <row r="217" ht="11.25" customHeight="1">
      <c r="O217" s="1"/>
      <c r="P217" s="1"/>
      <c r="Q217" s="3"/>
      <c r="S217" s="1"/>
      <c r="T217" s="3"/>
    </row>
    <row r="218" ht="11.25" customHeight="1">
      <c r="O218" s="1"/>
      <c r="P218" s="1"/>
      <c r="Q218" s="3"/>
      <c r="S218" s="1"/>
      <c r="T218" s="3"/>
    </row>
    <row r="219" ht="11.25" customHeight="1">
      <c r="O219" s="1"/>
      <c r="P219" s="1"/>
      <c r="Q219" s="3"/>
      <c r="S219" s="1"/>
      <c r="T219" s="3"/>
    </row>
    <row r="220" ht="11.25" customHeight="1">
      <c r="O220" s="1"/>
      <c r="P220" s="1"/>
      <c r="Q220" s="3"/>
      <c r="S220" s="1"/>
      <c r="T220" s="3"/>
    </row>
    <row r="221" ht="11.25" customHeight="1">
      <c r="O221" s="1"/>
      <c r="P221" s="1"/>
      <c r="Q221" s="3"/>
      <c r="S221" s="1"/>
      <c r="T221" s="3"/>
    </row>
    <row r="222" ht="11.25" customHeight="1">
      <c r="O222" s="1"/>
      <c r="P222" s="1"/>
      <c r="Q222" s="3"/>
      <c r="S222" s="1"/>
      <c r="T222" s="3"/>
    </row>
    <row r="223" ht="11.25" customHeight="1">
      <c r="O223" s="1"/>
      <c r="P223" s="1"/>
      <c r="Q223" s="3"/>
      <c r="S223" s="1"/>
      <c r="T223" s="3"/>
    </row>
    <row r="224" ht="11.25" customHeight="1">
      <c r="O224" s="1"/>
      <c r="P224" s="1"/>
      <c r="Q224" s="3"/>
      <c r="S224" s="1"/>
      <c r="T224" s="3"/>
    </row>
    <row r="225" ht="11.25" customHeight="1">
      <c r="O225" s="1"/>
      <c r="P225" s="1"/>
      <c r="Q225" s="3"/>
      <c r="S225" s="1"/>
      <c r="T225" s="3"/>
    </row>
    <row r="226" ht="11.25" customHeight="1">
      <c r="O226" s="1"/>
      <c r="P226" s="1"/>
      <c r="Q226" s="3"/>
      <c r="S226" s="1"/>
      <c r="T226" s="3"/>
    </row>
    <row r="227" ht="11.25" customHeight="1">
      <c r="O227" s="1"/>
      <c r="P227" s="1"/>
      <c r="Q227" s="3"/>
      <c r="S227" s="1"/>
      <c r="T227" s="3"/>
    </row>
    <row r="228" ht="11.25" customHeight="1">
      <c r="O228" s="1"/>
      <c r="P228" s="1"/>
      <c r="Q228" s="3"/>
      <c r="S228" s="1"/>
      <c r="T228" s="3"/>
    </row>
    <row r="229" ht="11.25" customHeight="1">
      <c r="O229" s="1"/>
      <c r="P229" s="1"/>
      <c r="Q229" s="3"/>
      <c r="S229" s="1"/>
      <c r="T229" s="3"/>
    </row>
    <row r="230" ht="11.25" customHeight="1">
      <c r="O230" s="1"/>
      <c r="P230" s="1"/>
      <c r="Q230" s="3"/>
      <c r="S230" s="1"/>
      <c r="T230" s="3"/>
    </row>
    <row r="231" ht="11.25" customHeight="1">
      <c r="O231" s="1"/>
      <c r="P231" s="1"/>
      <c r="Q231" s="3"/>
      <c r="S231" s="1"/>
      <c r="T231" s="3"/>
    </row>
    <row r="232" ht="11.25" customHeight="1">
      <c r="O232" s="1"/>
      <c r="P232" s="1"/>
      <c r="Q232" s="3"/>
      <c r="S232" s="1"/>
      <c r="T232" s="3"/>
    </row>
    <row r="233" ht="11.25" customHeight="1">
      <c r="O233" s="1"/>
      <c r="P233" s="1"/>
      <c r="Q233" s="3"/>
      <c r="S233" s="1"/>
      <c r="T233" s="3"/>
    </row>
    <row r="234" ht="11.25" customHeight="1">
      <c r="O234" s="1"/>
      <c r="P234" s="1"/>
      <c r="Q234" s="3"/>
      <c r="S234" s="1"/>
      <c r="T234" s="3"/>
    </row>
    <row r="235" ht="11.25" customHeight="1">
      <c r="O235" s="1"/>
      <c r="P235" s="1"/>
      <c r="Q235" s="3"/>
      <c r="S235" s="1"/>
      <c r="T235" s="3"/>
    </row>
    <row r="236" ht="11.25" customHeight="1">
      <c r="O236" s="1"/>
      <c r="P236" s="1"/>
      <c r="Q236" s="3"/>
      <c r="S236" s="1"/>
      <c r="T236" s="3"/>
    </row>
    <row r="237" ht="11.25" customHeight="1">
      <c r="O237" s="1"/>
      <c r="P237" s="1"/>
      <c r="Q237" s="3"/>
      <c r="S237" s="1"/>
      <c r="T237" s="3"/>
    </row>
    <row r="238" ht="11.25" customHeight="1">
      <c r="O238" s="1"/>
      <c r="P238" s="1"/>
      <c r="Q238" s="3"/>
      <c r="S238" s="1"/>
      <c r="T238" s="3"/>
    </row>
    <row r="239" ht="11.25" customHeight="1">
      <c r="O239" s="1"/>
      <c r="P239" s="1"/>
      <c r="Q239" s="3"/>
      <c r="S239" s="1"/>
      <c r="T239" s="3"/>
    </row>
    <row r="240" ht="11.25" customHeight="1">
      <c r="O240" s="1"/>
      <c r="P240" s="1"/>
      <c r="Q240" s="3"/>
      <c r="S240" s="1"/>
      <c r="T240" s="3"/>
    </row>
    <row r="241" ht="11.25" customHeight="1">
      <c r="O241" s="1"/>
      <c r="P241" s="1"/>
      <c r="Q241" s="3"/>
      <c r="S241" s="1"/>
      <c r="T241" s="3"/>
    </row>
    <row r="242" ht="11.25" customHeight="1">
      <c r="O242" s="1"/>
      <c r="P242" s="1"/>
      <c r="Q242" s="3"/>
      <c r="S242" s="1"/>
      <c r="T242" s="3"/>
    </row>
    <row r="243" ht="11.25" customHeight="1">
      <c r="O243" s="1"/>
      <c r="P243" s="1"/>
      <c r="Q243" s="3"/>
      <c r="S243" s="1"/>
      <c r="T243" s="3"/>
    </row>
    <row r="244" ht="11.25" customHeight="1">
      <c r="O244" s="1"/>
      <c r="P244" s="1"/>
      <c r="Q244" s="3"/>
      <c r="S244" s="1"/>
      <c r="T244" s="3"/>
    </row>
    <row r="245" ht="11.25" customHeight="1">
      <c r="O245" s="1"/>
      <c r="P245" s="1"/>
      <c r="Q245" s="3"/>
      <c r="S245" s="1"/>
      <c r="T245" s="3"/>
    </row>
    <row r="246" ht="11.25" customHeight="1">
      <c r="O246" s="1"/>
      <c r="P246" s="1"/>
      <c r="Q246" s="3"/>
      <c r="S246" s="1"/>
      <c r="T246" s="3"/>
    </row>
    <row r="247" ht="11.25" customHeight="1">
      <c r="O247" s="1"/>
      <c r="P247" s="1"/>
      <c r="Q247" s="3"/>
      <c r="S247" s="1"/>
      <c r="T247" s="3"/>
    </row>
    <row r="248" ht="11.25" customHeight="1">
      <c r="O248" s="1"/>
      <c r="P248" s="1"/>
      <c r="Q248" s="3"/>
      <c r="S248" s="1"/>
      <c r="T248" s="3"/>
    </row>
    <row r="249" ht="11.25" customHeight="1">
      <c r="O249" s="1"/>
      <c r="P249" s="1"/>
      <c r="Q249" s="3"/>
      <c r="S249" s="1"/>
      <c r="T249" s="3"/>
    </row>
    <row r="250" ht="11.25" customHeight="1">
      <c r="O250" s="1"/>
      <c r="P250" s="1"/>
      <c r="Q250" s="3"/>
      <c r="S250" s="1"/>
      <c r="T250" s="3"/>
    </row>
    <row r="251" ht="11.25" customHeight="1">
      <c r="O251" s="1"/>
      <c r="P251" s="1"/>
      <c r="Q251" s="3"/>
      <c r="S251" s="1"/>
      <c r="T251" s="3"/>
    </row>
    <row r="252" ht="11.25" customHeight="1">
      <c r="O252" s="1"/>
      <c r="P252" s="1"/>
      <c r="Q252" s="3"/>
      <c r="S252" s="1"/>
      <c r="T252" s="3"/>
    </row>
    <row r="253" ht="11.25" customHeight="1">
      <c r="O253" s="1"/>
      <c r="P253" s="1"/>
      <c r="Q253" s="3"/>
      <c r="S253" s="1"/>
      <c r="T253" s="3"/>
    </row>
    <row r="254" ht="11.25" customHeight="1">
      <c r="O254" s="1"/>
      <c r="P254" s="1"/>
      <c r="Q254" s="3"/>
      <c r="S254" s="1"/>
      <c r="T254" s="3"/>
    </row>
    <row r="255" ht="11.25" customHeight="1">
      <c r="O255" s="1"/>
      <c r="P255" s="1"/>
      <c r="Q255" s="3"/>
      <c r="S255" s="1"/>
      <c r="T255" s="3"/>
    </row>
    <row r="256" ht="11.25" customHeight="1">
      <c r="O256" s="1"/>
      <c r="P256" s="1"/>
      <c r="Q256" s="3"/>
      <c r="S256" s="1"/>
      <c r="T256" s="3"/>
    </row>
    <row r="257" ht="11.25" customHeight="1">
      <c r="O257" s="1"/>
      <c r="P257" s="1"/>
      <c r="Q257" s="3"/>
      <c r="S257" s="1"/>
      <c r="T257" s="3"/>
    </row>
    <row r="258" ht="11.25" customHeight="1">
      <c r="O258" s="1"/>
      <c r="P258" s="1"/>
      <c r="Q258" s="3"/>
      <c r="S258" s="1"/>
      <c r="T258" s="3"/>
    </row>
    <row r="259" ht="11.25" customHeight="1">
      <c r="O259" s="1"/>
      <c r="P259" s="1"/>
      <c r="Q259" s="3"/>
      <c r="S259" s="1"/>
      <c r="T259" s="3"/>
    </row>
    <row r="260" ht="11.25" customHeight="1">
      <c r="O260" s="1"/>
      <c r="P260" s="1"/>
      <c r="Q260" s="3"/>
      <c r="S260" s="1"/>
      <c r="T260" s="3"/>
    </row>
    <row r="261" ht="11.25" customHeight="1">
      <c r="O261" s="1"/>
      <c r="P261" s="1"/>
      <c r="Q261" s="3"/>
      <c r="S261" s="1"/>
      <c r="T261" s="3"/>
    </row>
    <row r="262" ht="11.25" customHeight="1">
      <c r="O262" s="1"/>
      <c r="P262" s="1"/>
      <c r="Q262" s="3"/>
      <c r="S262" s="1"/>
      <c r="T262" s="3"/>
    </row>
    <row r="263" ht="11.25" customHeight="1">
      <c r="O263" s="1"/>
      <c r="P263" s="1"/>
      <c r="Q263" s="3"/>
      <c r="S263" s="1"/>
      <c r="T263" s="3"/>
    </row>
    <row r="264" ht="11.25" customHeight="1">
      <c r="O264" s="1"/>
      <c r="P264" s="1"/>
      <c r="Q264" s="3"/>
      <c r="S264" s="1"/>
      <c r="T264" s="3"/>
    </row>
    <row r="265" ht="11.25" customHeight="1">
      <c r="O265" s="1"/>
      <c r="P265" s="1"/>
      <c r="Q265" s="3"/>
      <c r="S265" s="1"/>
      <c r="T265" s="3"/>
    </row>
    <row r="266" ht="11.25" customHeight="1">
      <c r="O266" s="1"/>
      <c r="P266" s="1"/>
      <c r="Q266" s="3"/>
      <c r="S266" s="1"/>
      <c r="T266" s="3"/>
    </row>
    <row r="267" ht="11.25" customHeight="1">
      <c r="O267" s="1"/>
      <c r="P267" s="1"/>
      <c r="Q267" s="3"/>
      <c r="S267" s="1"/>
      <c r="T267" s="3"/>
    </row>
    <row r="268" ht="11.25" customHeight="1">
      <c r="O268" s="1"/>
      <c r="P268" s="1"/>
      <c r="Q268" s="3"/>
      <c r="S268" s="1"/>
      <c r="T268" s="3"/>
    </row>
    <row r="269" ht="11.25" customHeight="1">
      <c r="O269" s="1"/>
      <c r="P269" s="1"/>
      <c r="Q269" s="3"/>
      <c r="S269" s="1"/>
      <c r="T269" s="3"/>
    </row>
    <row r="270" ht="11.25" customHeight="1">
      <c r="O270" s="1"/>
      <c r="P270" s="1"/>
      <c r="Q270" s="3"/>
      <c r="S270" s="1"/>
      <c r="T270" s="3"/>
    </row>
    <row r="271" ht="11.25" customHeight="1">
      <c r="O271" s="1"/>
      <c r="P271" s="1"/>
      <c r="Q271" s="3"/>
      <c r="S271" s="1"/>
      <c r="T271" s="3"/>
    </row>
    <row r="272" ht="11.25" customHeight="1">
      <c r="O272" s="1"/>
      <c r="P272" s="1"/>
      <c r="Q272" s="3"/>
      <c r="S272" s="1"/>
      <c r="T272" s="3"/>
    </row>
    <row r="273" ht="11.25" customHeight="1">
      <c r="O273" s="1"/>
      <c r="P273" s="1"/>
      <c r="Q273" s="3"/>
      <c r="S273" s="1"/>
      <c r="T273" s="3"/>
    </row>
    <row r="274" ht="11.25" customHeight="1">
      <c r="O274" s="1"/>
      <c r="P274" s="1"/>
      <c r="Q274" s="3"/>
      <c r="S274" s="1"/>
      <c r="T274" s="3"/>
    </row>
    <row r="275" ht="11.25" customHeight="1">
      <c r="O275" s="1"/>
      <c r="P275" s="1"/>
      <c r="Q275" s="3"/>
      <c r="S275" s="1"/>
      <c r="T275" s="3"/>
    </row>
    <row r="276" ht="11.25" customHeight="1">
      <c r="O276" s="1"/>
      <c r="P276" s="1"/>
      <c r="Q276" s="3"/>
      <c r="S276" s="1"/>
      <c r="T276" s="3"/>
    </row>
    <row r="277" ht="11.25" customHeight="1">
      <c r="O277" s="1"/>
      <c r="P277" s="1"/>
      <c r="Q277" s="3"/>
      <c r="S277" s="1"/>
      <c r="T277" s="3"/>
    </row>
    <row r="278" ht="11.25" customHeight="1">
      <c r="O278" s="1"/>
      <c r="P278" s="1"/>
      <c r="Q278" s="3"/>
      <c r="S278" s="1"/>
      <c r="T278" s="3"/>
    </row>
    <row r="279" ht="11.25" customHeight="1">
      <c r="O279" s="1"/>
      <c r="P279" s="1"/>
      <c r="Q279" s="3"/>
      <c r="S279" s="1"/>
      <c r="T279" s="3"/>
    </row>
    <row r="280" ht="11.25" customHeight="1">
      <c r="O280" s="1"/>
      <c r="P280" s="1"/>
      <c r="Q280" s="3"/>
      <c r="S280" s="1"/>
      <c r="T280" s="3"/>
    </row>
    <row r="281" ht="11.25" customHeight="1">
      <c r="O281" s="1"/>
      <c r="P281" s="1"/>
      <c r="Q281" s="3"/>
      <c r="S281" s="1"/>
      <c r="T281" s="3"/>
    </row>
    <row r="282" ht="11.25" customHeight="1">
      <c r="O282" s="1"/>
      <c r="P282" s="1"/>
      <c r="Q282" s="3"/>
      <c r="S282" s="1"/>
      <c r="T282" s="3"/>
    </row>
    <row r="283" ht="11.25" customHeight="1">
      <c r="O283" s="1"/>
      <c r="P283" s="1"/>
      <c r="Q283" s="3"/>
      <c r="S283" s="1"/>
      <c r="T283" s="3"/>
    </row>
    <row r="284" ht="11.25" customHeight="1">
      <c r="O284" s="1"/>
      <c r="P284" s="1"/>
      <c r="Q284" s="3"/>
      <c r="S284" s="1"/>
      <c r="T284" s="3"/>
    </row>
    <row r="285" ht="11.25" customHeight="1">
      <c r="O285" s="1"/>
      <c r="P285" s="1"/>
      <c r="Q285" s="3"/>
      <c r="S285" s="1"/>
      <c r="T285" s="3"/>
    </row>
    <row r="286" ht="11.25" customHeight="1">
      <c r="O286" s="1"/>
      <c r="P286" s="1"/>
      <c r="Q286" s="3"/>
      <c r="S286" s="1"/>
      <c r="T286" s="3"/>
    </row>
    <row r="287" ht="11.25" customHeight="1">
      <c r="O287" s="1"/>
      <c r="P287" s="1"/>
      <c r="Q287" s="3"/>
      <c r="S287" s="1"/>
      <c r="T287" s="3"/>
    </row>
    <row r="288" ht="11.25" customHeight="1">
      <c r="O288" s="1"/>
      <c r="P288" s="1"/>
      <c r="Q288" s="3"/>
      <c r="S288" s="1"/>
      <c r="T288" s="3"/>
    </row>
    <row r="289" ht="11.25" customHeight="1">
      <c r="O289" s="1"/>
      <c r="P289" s="1"/>
      <c r="Q289" s="3"/>
      <c r="S289" s="1"/>
      <c r="T289" s="3"/>
    </row>
    <row r="290" ht="11.25" customHeight="1">
      <c r="O290" s="1"/>
      <c r="P290" s="1"/>
      <c r="Q290" s="3"/>
      <c r="S290" s="1"/>
      <c r="T290" s="3"/>
    </row>
    <row r="291" ht="11.25" customHeight="1">
      <c r="O291" s="1"/>
      <c r="P291" s="1"/>
      <c r="Q291" s="3"/>
      <c r="S291" s="1"/>
      <c r="T291" s="3"/>
    </row>
    <row r="292" ht="11.25" customHeight="1">
      <c r="O292" s="1"/>
      <c r="P292" s="1"/>
      <c r="Q292" s="3"/>
      <c r="S292" s="1"/>
      <c r="T292" s="3"/>
    </row>
    <row r="293" ht="11.25" customHeight="1">
      <c r="O293" s="1"/>
      <c r="P293" s="1"/>
      <c r="Q293" s="3"/>
      <c r="S293" s="1"/>
      <c r="T293" s="3"/>
    </row>
    <row r="294" ht="11.25" customHeight="1">
      <c r="O294" s="1"/>
      <c r="P294" s="1"/>
      <c r="Q294" s="3"/>
      <c r="S294" s="1"/>
      <c r="T294" s="3"/>
    </row>
    <row r="295" ht="11.25" customHeight="1">
      <c r="O295" s="1"/>
      <c r="P295" s="1"/>
      <c r="Q295" s="3"/>
      <c r="S295" s="1"/>
      <c r="T295" s="3"/>
    </row>
    <row r="296" ht="11.25" customHeight="1">
      <c r="O296" s="1"/>
      <c r="P296" s="1"/>
      <c r="Q296" s="3"/>
      <c r="S296" s="1"/>
      <c r="T296" s="3"/>
    </row>
    <row r="297" ht="11.25" customHeight="1">
      <c r="O297" s="1"/>
      <c r="P297" s="1"/>
      <c r="Q297" s="3"/>
      <c r="S297" s="1"/>
      <c r="T297" s="3"/>
    </row>
    <row r="298" ht="11.25" customHeight="1">
      <c r="O298" s="1"/>
      <c r="P298" s="1"/>
      <c r="Q298" s="3"/>
      <c r="S298" s="1"/>
      <c r="T298" s="3"/>
    </row>
    <row r="299" ht="11.25" customHeight="1">
      <c r="O299" s="1"/>
      <c r="P299" s="1"/>
      <c r="Q299" s="3"/>
      <c r="S299" s="1"/>
      <c r="T299" s="3"/>
    </row>
    <row r="300" ht="11.25" customHeight="1">
      <c r="O300" s="1"/>
      <c r="P300" s="1"/>
      <c r="Q300" s="3"/>
      <c r="S300" s="1"/>
      <c r="T300" s="3"/>
    </row>
    <row r="301" ht="11.25" customHeight="1">
      <c r="O301" s="1"/>
      <c r="P301" s="1"/>
      <c r="Q301" s="3"/>
      <c r="S301" s="1"/>
      <c r="T301" s="3"/>
    </row>
    <row r="302" ht="11.25" customHeight="1">
      <c r="O302" s="1"/>
      <c r="P302" s="1"/>
      <c r="Q302" s="3"/>
      <c r="S302" s="1"/>
      <c r="T302" s="3"/>
    </row>
    <row r="303" ht="11.25" customHeight="1">
      <c r="O303" s="1"/>
      <c r="P303" s="1"/>
      <c r="Q303" s="3"/>
      <c r="S303" s="1"/>
      <c r="T303" s="3"/>
    </row>
    <row r="304" ht="11.25" customHeight="1">
      <c r="O304" s="1"/>
      <c r="P304" s="1"/>
      <c r="Q304" s="3"/>
      <c r="S304" s="1"/>
      <c r="T304" s="3"/>
    </row>
    <row r="305" ht="11.25" customHeight="1">
      <c r="O305" s="1"/>
      <c r="P305" s="1"/>
      <c r="Q305" s="3"/>
      <c r="S305" s="1"/>
      <c r="T305" s="3"/>
    </row>
    <row r="306" ht="11.25" customHeight="1">
      <c r="O306" s="1"/>
      <c r="P306" s="1"/>
      <c r="Q306" s="3"/>
      <c r="S306" s="1"/>
      <c r="T306" s="3"/>
    </row>
    <row r="307" ht="11.25" customHeight="1">
      <c r="O307" s="1"/>
      <c r="P307" s="1"/>
      <c r="Q307" s="3"/>
      <c r="S307" s="1"/>
      <c r="T307" s="3"/>
    </row>
    <row r="308" ht="11.25" customHeight="1">
      <c r="O308" s="1"/>
      <c r="P308" s="1"/>
      <c r="Q308" s="3"/>
      <c r="S308" s="1"/>
      <c r="T308" s="3"/>
    </row>
    <row r="309" ht="11.25" customHeight="1">
      <c r="O309" s="1"/>
      <c r="P309" s="1"/>
      <c r="Q309" s="3"/>
      <c r="S309" s="1"/>
      <c r="T309" s="3"/>
    </row>
    <row r="310" ht="11.25" customHeight="1">
      <c r="O310" s="1"/>
      <c r="P310" s="1"/>
      <c r="Q310" s="3"/>
      <c r="S310" s="1"/>
      <c r="T310" s="3"/>
    </row>
    <row r="311" ht="11.25" customHeight="1">
      <c r="O311" s="1"/>
      <c r="P311" s="1"/>
      <c r="Q311" s="3"/>
      <c r="S311" s="1"/>
      <c r="T311" s="3"/>
    </row>
    <row r="312" ht="11.25" customHeight="1">
      <c r="O312" s="1"/>
      <c r="P312" s="1"/>
      <c r="Q312" s="3"/>
      <c r="S312" s="1"/>
      <c r="T312" s="3"/>
    </row>
    <row r="313" ht="11.25" customHeight="1">
      <c r="O313" s="1"/>
      <c r="P313" s="1"/>
      <c r="Q313" s="3"/>
      <c r="S313" s="1"/>
      <c r="T313" s="3"/>
    </row>
    <row r="314" ht="11.25" customHeight="1">
      <c r="O314" s="1"/>
      <c r="P314" s="1"/>
      <c r="Q314" s="3"/>
      <c r="S314" s="1"/>
      <c r="T314" s="3"/>
    </row>
    <row r="315" ht="11.25" customHeight="1">
      <c r="O315" s="1"/>
      <c r="P315" s="1"/>
      <c r="Q315" s="3"/>
      <c r="S315" s="1"/>
      <c r="T315" s="3"/>
    </row>
    <row r="316" ht="11.25" customHeight="1">
      <c r="O316" s="1"/>
      <c r="P316" s="1"/>
      <c r="Q316" s="3"/>
      <c r="S316" s="1"/>
      <c r="T316" s="3"/>
    </row>
    <row r="317" ht="11.25" customHeight="1">
      <c r="O317" s="1"/>
      <c r="P317" s="1"/>
      <c r="Q317" s="3"/>
      <c r="S317" s="1"/>
      <c r="T317" s="3"/>
    </row>
    <row r="318" ht="11.25" customHeight="1">
      <c r="O318" s="1"/>
      <c r="P318" s="1"/>
      <c r="Q318" s="3"/>
      <c r="S318" s="1"/>
      <c r="T318" s="3"/>
    </row>
    <row r="319" ht="11.25" customHeight="1">
      <c r="O319" s="1"/>
      <c r="P319" s="1"/>
      <c r="Q319" s="3"/>
      <c r="S319" s="1"/>
      <c r="T319" s="3"/>
    </row>
    <row r="320" ht="11.25" customHeight="1">
      <c r="O320" s="1"/>
      <c r="P320" s="1"/>
      <c r="Q320" s="3"/>
      <c r="S320" s="1"/>
      <c r="T320" s="3"/>
    </row>
    <row r="321" ht="11.25" customHeight="1">
      <c r="O321" s="1"/>
      <c r="P321" s="1"/>
      <c r="Q321" s="3"/>
      <c r="S321" s="1"/>
      <c r="T321" s="3"/>
    </row>
    <row r="322" ht="11.25" customHeight="1">
      <c r="O322" s="1"/>
      <c r="P322" s="1"/>
      <c r="Q322" s="3"/>
      <c r="S322" s="1"/>
      <c r="T322" s="3"/>
    </row>
    <row r="323" ht="11.25" customHeight="1">
      <c r="O323" s="1"/>
      <c r="P323" s="1"/>
      <c r="Q323" s="3"/>
      <c r="S323" s="1"/>
      <c r="T323" s="3"/>
    </row>
    <row r="324" ht="11.25" customHeight="1">
      <c r="O324" s="1"/>
      <c r="P324" s="1"/>
      <c r="Q324" s="3"/>
      <c r="S324" s="1"/>
      <c r="T324" s="3"/>
    </row>
    <row r="325" ht="11.25" customHeight="1">
      <c r="O325" s="1"/>
      <c r="P325" s="1"/>
      <c r="Q325" s="3"/>
      <c r="S325" s="1"/>
      <c r="T325" s="3"/>
    </row>
    <row r="326" ht="11.25" customHeight="1">
      <c r="O326" s="1"/>
      <c r="P326" s="1"/>
      <c r="Q326" s="3"/>
      <c r="S326" s="1"/>
      <c r="T326" s="3"/>
    </row>
    <row r="327" ht="11.25" customHeight="1">
      <c r="O327" s="1"/>
      <c r="P327" s="1"/>
      <c r="Q327" s="3"/>
      <c r="S327" s="1"/>
      <c r="T327" s="3"/>
    </row>
    <row r="328" ht="11.25" customHeight="1">
      <c r="O328" s="1"/>
      <c r="P328" s="1"/>
      <c r="Q328" s="3"/>
      <c r="S328" s="1"/>
      <c r="T328" s="3"/>
    </row>
    <row r="329" ht="11.25" customHeight="1">
      <c r="O329" s="1"/>
      <c r="P329" s="1"/>
      <c r="Q329" s="3"/>
      <c r="S329" s="1"/>
      <c r="T329" s="3"/>
    </row>
    <row r="330" ht="11.25" customHeight="1">
      <c r="O330" s="1"/>
      <c r="P330" s="1"/>
      <c r="Q330" s="3"/>
      <c r="S330" s="1"/>
      <c r="T330" s="3"/>
    </row>
    <row r="331" ht="11.25" customHeight="1">
      <c r="O331" s="1"/>
      <c r="P331" s="1"/>
      <c r="Q331" s="3"/>
      <c r="S331" s="1"/>
      <c r="T331" s="3"/>
    </row>
    <row r="332" ht="11.25" customHeight="1">
      <c r="O332" s="1"/>
      <c r="P332" s="1"/>
      <c r="Q332" s="3"/>
      <c r="S332" s="1"/>
      <c r="T332" s="3"/>
    </row>
    <row r="333" ht="11.25" customHeight="1">
      <c r="O333" s="1"/>
      <c r="P333" s="1"/>
      <c r="Q333" s="3"/>
      <c r="S333" s="1"/>
      <c r="T333" s="3"/>
    </row>
    <row r="334" ht="11.25" customHeight="1">
      <c r="O334" s="1"/>
      <c r="P334" s="1"/>
      <c r="Q334" s="3"/>
      <c r="S334" s="1"/>
      <c r="T334" s="3"/>
    </row>
    <row r="335" ht="11.25" customHeight="1">
      <c r="O335" s="1"/>
      <c r="P335" s="1"/>
      <c r="Q335" s="3"/>
      <c r="S335" s="1"/>
      <c r="T335" s="3"/>
    </row>
    <row r="336" ht="11.25" customHeight="1">
      <c r="O336" s="1"/>
      <c r="P336" s="1"/>
      <c r="Q336" s="3"/>
      <c r="S336" s="1"/>
      <c r="T336" s="3"/>
    </row>
    <row r="337" ht="11.25" customHeight="1">
      <c r="O337" s="1"/>
      <c r="P337" s="1"/>
      <c r="Q337" s="3"/>
      <c r="S337" s="1"/>
      <c r="T337" s="3"/>
    </row>
    <row r="338" ht="11.25" customHeight="1">
      <c r="O338" s="1"/>
      <c r="P338" s="1"/>
      <c r="Q338" s="3"/>
      <c r="S338" s="1"/>
      <c r="T338" s="3"/>
    </row>
    <row r="339" ht="11.25" customHeight="1">
      <c r="O339" s="1"/>
      <c r="P339" s="1"/>
      <c r="Q339" s="3"/>
      <c r="S339" s="1"/>
      <c r="T339" s="3"/>
    </row>
    <row r="340" ht="11.25" customHeight="1">
      <c r="O340" s="1"/>
      <c r="P340" s="1"/>
      <c r="Q340" s="3"/>
      <c r="S340" s="1"/>
      <c r="T340" s="3"/>
    </row>
    <row r="341" ht="11.25" customHeight="1">
      <c r="O341" s="1"/>
      <c r="P341" s="1"/>
      <c r="Q341" s="3"/>
      <c r="S341" s="1"/>
      <c r="T341" s="3"/>
    </row>
    <row r="342" ht="11.25" customHeight="1">
      <c r="O342" s="1"/>
      <c r="P342" s="1"/>
      <c r="Q342" s="3"/>
      <c r="S342" s="1"/>
      <c r="T342" s="3"/>
    </row>
    <row r="343" ht="11.25" customHeight="1">
      <c r="O343" s="1"/>
      <c r="P343" s="1"/>
      <c r="Q343" s="3"/>
      <c r="S343" s="1"/>
      <c r="T343" s="3"/>
    </row>
    <row r="344" ht="11.25" customHeight="1">
      <c r="O344" s="1"/>
      <c r="P344" s="1"/>
      <c r="Q344" s="3"/>
      <c r="S344" s="1"/>
      <c r="T344" s="3"/>
    </row>
    <row r="345" ht="11.25" customHeight="1">
      <c r="O345" s="1"/>
      <c r="P345" s="1"/>
      <c r="Q345" s="3"/>
      <c r="S345" s="1"/>
      <c r="T345" s="3"/>
    </row>
    <row r="346" ht="11.25" customHeight="1">
      <c r="O346" s="1"/>
      <c r="P346" s="1"/>
      <c r="Q346" s="3"/>
      <c r="S346" s="1"/>
      <c r="T346" s="3"/>
    </row>
    <row r="347" ht="11.25" customHeight="1">
      <c r="O347" s="1"/>
      <c r="P347" s="1"/>
      <c r="Q347" s="3"/>
      <c r="S347" s="1"/>
      <c r="T347" s="3"/>
    </row>
    <row r="348" ht="11.25" customHeight="1">
      <c r="O348" s="1"/>
      <c r="P348" s="1"/>
      <c r="Q348" s="3"/>
      <c r="S348" s="1"/>
      <c r="T348" s="3"/>
    </row>
    <row r="349" ht="11.25" customHeight="1">
      <c r="O349" s="1"/>
      <c r="P349" s="1"/>
      <c r="Q349" s="3"/>
      <c r="S349" s="1"/>
      <c r="T349" s="3"/>
    </row>
    <row r="350" ht="11.25" customHeight="1">
      <c r="O350" s="1"/>
      <c r="P350" s="1"/>
      <c r="Q350" s="3"/>
      <c r="S350" s="1"/>
      <c r="T350" s="3"/>
    </row>
    <row r="351" ht="11.25" customHeight="1">
      <c r="O351" s="1"/>
      <c r="P351" s="1"/>
      <c r="Q351" s="3"/>
      <c r="S351" s="1"/>
      <c r="T351" s="3"/>
    </row>
    <row r="352" ht="11.25" customHeight="1">
      <c r="O352" s="1"/>
      <c r="P352" s="1"/>
      <c r="Q352" s="3"/>
      <c r="S352" s="1"/>
      <c r="T352" s="3"/>
    </row>
    <row r="353" ht="11.25" customHeight="1">
      <c r="O353" s="1"/>
      <c r="P353" s="1"/>
      <c r="Q353" s="3"/>
      <c r="S353" s="1"/>
      <c r="T353" s="3"/>
    </row>
    <row r="354" ht="11.25" customHeight="1">
      <c r="O354" s="1"/>
      <c r="P354" s="1"/>
      <c r="Q354" s="3"/>
      <c r="S354" s="1"/>
      <c r="T354" s="3"/>
    </row>
    <row r="355" ht="11.25" customHeight="1">
      <c r="O355" s="1"/>
      <c r="P355" s="1"/>
      <c r="Q355" s="3"/>
      <c r="S355" s="1"/>
      <c r="T355" s="3"/>
    </row>
    <row r="356" ht="11.25" customHeight="1">
      <c r="O356" s="1"/>
      <c r="P356" s="1"/>
      <c r="Q356" s="3"/>
      <c r="S356" s="1"/>
      <c r="T356" s="3"/>
    </row>
    <row r="357" ht="11.25" customHeight="1">
      <c r="O357" s="1"/>
      <c r="P357" s="1"/>
      <c r="Q357" s="3"/>
      <c r="S357" s="1"/>
      <c r="T357" s="3"/>
    </row>
    <row r="358" ht="11.25" customHeight="1">
      <c r="O358" s="1"/>
      <c r="P358" s="1"/>
      <c r="Q358" s="3"/>
      <c r="S358" s="1"/>
      <c r="T358" s="3"/>
    </row>
    <row r="359" ht="11.25" customHeight="1">
      <c r="O359" s="1"/>
      <c r="P359" s="1"/>
      <c r="Q359" s="3"/>
      <c r="S359" s="1"/>
      <c r="T359" s="3"/>
    </row>
    <row r="360" ht="11.25" customHeight="1">
      <c r="O360" s="1"/>
      <c r="P360" s="1"/>
      <c r="Q360" s="3"/>
      <c r="S360" s="1"/>
      <c r="T360" s="3"/>
    </row>
    <row r="361" ht="11.25" customHeight="1">
      <c r="O361" s="1"/>
      <c r="P361" s="1"/>
      <c r="Q361" s="3"/>
      <c r="S361" s="1"/>
      <c r="T361" s="3"/>
    </row>
    <row r="362" ht="11.25" customHeight="1">
      <c r="O362" s="1"/>
      <c r="P362" s="1"/>
      <c r="Q362" s="3"/>
      <c r="S362" s="1"/>
      <c r="T362" s="3"/>
    </row>
    <row r="363" ht="11.25" customHeight="1">
      <c r="O363" s="1"/>
      <c r="P363" s="1"/>
      <c r="Q363" s="3"/>
      <c r="S363" s="1"/>
      <c r="T363" s="3"/>
    </row>
    <row r="364" ht="11.25" customHeight="1">
      <c r="O364" s="1"/>
      <c r="P364" s="1"/>
      <c r="Q364" s="3"/>
      <c r="S364" s="1"/>
      <c r="T364" s="3"/>
    </row>
    <row r="365" ht="11.25" customHeight="1">
      <c r="O365" s="1"/>
      <c r="P365" s="1"/>
      <c r="Q365" s="3"/>
      <c r="S365" s="1"/>
      <c r="T365" s="3"/>
    </row>
    <row r="366" ht="11.25" customHeight="1">
      <c r="O366" s="1"/>
      <c r="P366" s="1"/>
      <c r="Q366" s="3"/>
      <c r="S366" s="1"/>
      <c r="T366" s="3"/>
    </row>
    <row r="367" ht="11.25" customHeight="1">
      <c r="O367" s="1"/>
      <c r="P367" s="1"/>
      <c r="Q367" s="3"/>
      <c r="S367" s="1"/>
      <c r="T367" s="3"/>
    </row>
    <row r="368" ht="11.25" customHeight="1">
      <c r="O368" s="1"/>
      <c r="P368" s="1"/>
      <c r="Q368" s="3"/>
      <c r="S368" s="1"/>
      <c r="T368" s="3"/>
    </row>
    <row r="369" ht="11.25" customHeight="1">
      <c r="O369" s="1"/>
      <c r="P369" s="1"/>
      <c r="Q369" s="3"/>
      <c r="S369" s="1"/>
      <c r="T369" s="3"/>
    </row>
    <row r="370" ht="11.25" customHeight="1">
      <c r="O370" s="1"/>
      <c r="P370" s="1"/>
      <c r="Q370" s="3"/>
      <c r="S370" s="1"/>
      <c r="T370" s="3"/>
    </row>
    <row r="371" ht="11.25" customHeight="1">
      <c r="O371" s="1"/>
      <c r="P371" s="1"/>
      <c r="Q371" s="3"/>
      <c r="S371" s="1"/>
      <c r="T371" s="3"/>
    </row>
    <row r="372" ht="11.25" customHeight="1">
      <c r="O372" s="1"/>
      <c r="P372" s="1"/>
      <c r="Q372" s="3"/>
      <c r="S372" s="1"/>
      <c r="T372" s="3"/>
    </row>
    <row r="373" ht="11.25" customHeight="1">
      <c r="O373" s="1"/>
      <c r="P373" s="1"/>
      <c r="Q373" s="3"/>
      <c r="S373" s="1"/>
      <c r="T373" s="3"/>
    </row>
    <row r="374" ht="11.25" customHeight="1">
      <c r="O374" s="1"/>
      <c r="P374" s="1"/>
      <c r="Q374" s="3"/>
      <c r="S374" s="1"/>
      <c r="T374" s="3"/>
    </row>
    <row r="375" ht="11.25" customHeight="1">
      <c r="O375" s="1"/>
      <c r="P375" s="1"/>
      <c r="Q375" s="3"/>
      <c r="S375" s="1"/>
      <c r="T375" s="3"/>
    </row>
    <row r="376" ht="11.25" customHeight="1">
      <c r="O376" s="1"/>
      <c r="P376" s="1"/>
      <c r="Q376" s="3"/>
      <c r="S376" s="1"/>
      <c r="T376" s="3"/>
    </row>
    <row r="377" ht="11.25" customHeight="1">
      <c r="O377" s="1"/>
      <c r="P377" s="1"/>
      <c r="Q377" s="3"/>
      <c r="S377" s="1"/>
      <c r="T377" s="3"/>
    </row>
    <row r="378" ht="11.25" customHeight="1">
      <c r="O378" s="1"/>
      <c r="P378" s="1"/>
      <c r="Q378" s="3"/>
      <c r="S378" s="1"/>
      <c r="T378" s="3"/>
    </row>
    <row r="379" ht="11.25" customHeight="1">
      <c r="O379" s="1"/>
      <c r="P379" s="1"/>
      <c r="Q379" s="3"/>
      <c r="S379" s="1"/>
      <c r="T379" s="3"/>
    </row>
    <row r="380" ht="11.25" customHeight="1">
      <c r="O380" s="1"/>
      <c r="P380" s="1"/>
      <c r="Q380" s="3"/>
      <c r="S380" s="1"/>
      <c r="T380" s="3"/>
    </row>
    <row r="381" ht="11.25" customHeight="1">
      <c r="O381" s="1"/>
      <c r="P381" s="1"/>
      <c r="Q381" s="3"/>
      <c r="S381" s="1"/>
      <c r="T381" s="3"/>
    </row>
    <row r="382" ht="11.25" customHeight="1">
      <c r="O382" s="1"/>
      <c r="P382" s="1"/>
      <c r="Q382" s="3"/>
      <c r="S382" s="1"/>
      <c r="T382" s="3"/>
    </row>
    <row r="383" ht="11.25" customHeight="1">
      <c r="O383" s="1"/>
      <c r="P383" s="1"/>
      <c r="Q383" s="3"/>
      <c r="S383" s="1"/>
      <c r="T383" s="3"/>
    </row>
    <row r="384" ht="11.25" customHeight="1">
      <c r="O384" s="1"/>
      <c r="P384" s="1"/>
      <c r="Q384" s="3"/>
      <c r="S384" s="1"/>
      <c r="T384" s="3"/>
    </row>
    <row r="385" ht="11.25" customHeight="1">
      <c r="O385" s="1"/>
      <c r="P385" s="1"/>
      <c r="Q385" s="3"/>
      <c r="S385" s="1"/>
      <c r="T385" s="3"/>
    </row>
    <row r="386" ht="11.25" customHeight="1">
      <c r="O386" s="1"/>
      <c r="P386" s="1"/>
      <c r="Q386" s="3"/>
      <c r="S386" s="1"/>
      <c r="T386" s="3"/>
    </row>
    <row r="387" ht="11.25" customHeight="1">
      <c r="O387" s="1"/>
      <c r="P387" s="1"/>
      <c r="Q387" s="3"/>
      <c r="S387" s="1"/>
      <c r="T387" s="3"/>
    </row>
    <row r="388" ht="11.25" customHeight="1">
      <c r="O388" s="1"/>
      <c r="P388" s="1"/>
      <c r="Q388" s="3"/>
      <c r="S388" s="1"/>
      <c r="T388" s="3"/>
    </row>
    <row r="389" ht="11.25" customHeight="1">
      <c r="O389" s="1"/>
      <c r="P389" s="1"/>
      <c r="Q389" s="3"/>
      <c r="S389" s="1"/>
      <c r="T389" s="3"/>
    </row>
    <row r="390" ht="11.25" customHeight="1">
      <c r="O390" s="1"/>
      <c r="P390" s="1"/>
      <c r="Q390" s="3"/>
      <c r="S390" s="1"/>
      <c r="T390" s="3"/>
    </row>
    <row r="391" ht="11.25" customHeight="1">
      <c r="O391" s="1"/>
      <c r="P391" s="1"/>
      <c r="Q391" s="3"/>
      <c r="S391" s="1"/>
      <c r="T391" s="3"/>
    </row>
    <row r="392" ht="11.25" customHeight="1">
      <c r="O392" s="1"/>
      <c r="P392" s="1"/>
      <c r="Q392" s="3"/>
      <c r="S392" s="1"/>
      <c r="T392" s="3"/>
    </row>
    <row r="393" ht="11.25" customHeight="1">
      <c r="O393" s="1"/>
      <c r="P393" s="1"/>
      <c r="Q393" s="3"/>
      <c r="S393" s="1"/>
      <c r="T393" s="3"/>
    </row>
    <row r="394" ht="11.25" customHeight="1">
      <c r="O394" s="1"/>
      <c r="P394" s="1"/>
      <c r="Q394" s="3"/>
      <c r="S394" s="1"/>
      <c r="T394" s="3"/>
    </row>
    <row r="395" ht="11.25" customHeight="1">
      <c r="O395" s="1"/>
      <c r="P395" s="1"/>
      <c r="Q395" s="3"/>
      <c r="S395" s="1"/>
      <c r="T395" s="3"/>
    </row>
    <row r="396" ht="11.25" customHeight="1">
      <c r="O396" s="1"/>
      <c r="P396" s="1"/>
      <c r="Q396" s="3"/>
      <c r="S396" s="1"/>
      <c r="T396" s="3"/>
    </row>
    <row r="397" ht="11.25" customHeight="1">
      <c r="O397" s="1"/>
      <c r="P397" s="1"/>
      <c r="Q397" s="3"/>
      <c r="S397" s="1"/>
      <c r="T397" s="3"/>
    </row>
    <row r="398" ht="11.25" customHeight="1">
      <c r="O398" s="1"/>
      <c r="P398" s="1"/>
      <c r="Q398" s="3"/>
      <c r="S398" s="1"/>
      <c r="T398" s="3"/>
    </row>
    <row r="399" ht="11.25" customHeight="1">
      <c r="O399" s="1"/>
      <c r="P399" s="1"/>
      <c r="Q399" s="3"/>
      <c r="S399" s="1"/>
      <c r="T399" s="3"/>
    </row>
    <row r="400" ht="11.25" customHeight="1">
      <c r="O400" s="1"/>
      <c r="P400" s="1"/>
      <c r="Q400" s="3"/>
      <c r="S400" s="1"/>
      <c r="T400" s="3"/>
    </row>
    <row r="401" ht="11.25" customHeight="1">
      <c r="O401" s="1"/>
      <c r="P401" s="1"/>
      <c r="Q401" s="3"/>
      <c r="S401" s="1"/>
      <c r="T401" s="3"/>
    </row>
    <row r="402" ht="11.25" customHeight="1">
      <c r="O402" s="1"/>
      <c r="P402" s="1"/>
      <c r="Q402" s="3"/>
      <c r="S402" s="1"/>
      <c r="T402" s="3"/>
    </row>
    <row r="403" ht="11.25" customHeight="1">
      <c r="O403" s="1"/>
      <c r="P403" s="1"/>
      <c r="Q403" s="3"/>
      <c r="S403" s="1"/>
      <c r="T403" s="3"/>
    </row>
    <row r="404" ht="11.25" customHeight="1">
      <c r="O404" s="1"/>
      <c r="P404" s="1"/>
      <c r="Q404" s="3"/>
      <c r="S404" s="1"/>
      <c r="T404" s="3"/>
    </row>
    <row r="405" ht="11.25" customHeight="1">
      <c r="O405" s="1"/>
      <c r="P405" s="1"/>
      <c r="Q405" s="3"/>
      <c r="S405" s="1"/>
      <c r="T405" s="3"/>
    </row>
    <row r="406" ht="11.25" customHeight="1">
      <c r="O406" s="1"/>
      <c r="P406" s="1"/>
      <c r="Q406" s="3"/>
      <c r="S406" s="1"/>
      <c r="T406" s="3"/>
    </row>
    <row r="407" ht="11.25" customHeight="1">
      <c r="O407" s="1"/>
      <c r="P407" s="1"/>
      <c r="Q407" s="3"/>
      <c r="S407" s="1"/>
      <c r="T407" s="3"/>
    </row>
    <row r="408" ht="11.25" customHeight="1">
      <c r="O408" s="1"/>
      <c r="P408" s="1"/>
      <c r="Q408" s="3"/>
      <c r="S408" s="1"/>
      <c r="T408" s="3"/>
    </row>
    <row r="409" ht="11.25" customHeight="1">
      <c r="O409" s="1"/>
      <c r="P409" s="1"/>
      <c r="Q409" s="3"/>
      <c r="S409" s="1"/>
      <c r="T409" s="3"/>
    </row>
    <row r="410" ht="11.25" customHeight="1">
      <c r="O410" s="1"/>
      <c r="P410" s="1"/>
      <c r="Q410" s="3"/>
      <c r="S410" s="1"/>
      <c r="T410" s="3"/>
    </row>
    <row r="411" ht="11.25" customHeight="1">
      <c r="O411" s="1"/>
      <c r="P411" s="1"/>
      <c r="Q411" s="3"/>
      <c r="S411" s="1"/>
      <c r="T411" s="3"/>
    </row>
    <row r="412" ht="11.25" customHeight="1">
      <c r="O412" s="1"/>
      <c r="P412" s="1"/>
      <c r="Q412" s="3"/>
      <c r="S412" s="1"/>
      <c r="T412" s="3"/>
    </row>
    <row r="413" ht="11.25" customHeight="1">
      <c r="O413" s="1"/>
      <c r="P413" s="1"/>
      <c r="Q413" s="3"/>
      <c r="S413" s="1"/>
      <c r="T413" s="3"/>
    </row>
    <row r="414" ht="11.25" customHeight="1">
      <c r="O414" s="1"/>
      <c r="P414" s="1"/>
      <c r="Q414" s="3"/>
      <c r="S414" s="1"/>
      <c r="T414" s="3"/>
    </row>
    <row r="415" ht="11.25" customHeight="1">
      <c r="O415" s="1"/>
      <c r="P415" s="1"/>
      <c r="Q415" s="3"/>
      <c r="S415" s="1"/>
      <c r="T415" s="3"/>
    </row>
    <row r="416" ht="11.25" customHeight="1">
      <c r="O416" s="1"/>
      <c r="P416" s="1"/>
      <c r="Q416" s="3"/>
      <c r="S416" s="1"/>
      <c r="T416" s="3"/>
    </row>
    <row r="417" ht="11.25" customHeight="1">
      <c r="O417" s="1"/>
      <c r="P417" s="1"/>
      <c r="Q417" s="3"/>
      <c r="S417" s="1"/>
      <c r="T417" s="3"/>
    </row>
    <row r="418" ht="11.25" customHeight="1">
      <c r="O418" s="1"/>
      <c r="P418" s="1"/>
      <c r="Q418" s="3"/>
      <c r="S418" s="1"/>
      <c r="T418" s="3"/>
    </row>
    <row r="419" ht="11.25" customHeight="1">
      <c r="O419" s="1"/>
      <c r="P419" s="1"/>
      <c r="Q419" s="3"/>
      <c r="S419" s="1"/>
      <c r="T419" s="3"/>
    </row>
    <row r="420" ht="11.25" customHeight="1">
      <c r="O420" s="1"/>
      <c r="P420" s="1"/>
      <c r="Q420" s="3"/>
      <c r="S420" s="1"/>
      <c r="T420" s="3"/>
    </row>
    <row r="421" ht="11.25" customHeight="1">
      <c r="O421" s="1"/>
      <c r="P421" s="1"/>
      <c r="Q421" s="3"/>
      <c r="S421" s="1"/>
      <c r="T421" s="3"/>
    </row>
    <row r="422" ht="11.25" customHeight="1">
      <c r="O422" s="1"/>
      <c r="P422" s="1"/>
      <c r="Q422" s="3"/>
      <c r="S422" s="1"/>
      <c r="T422" s="3"/>
    </row>
    <row r="423" ht="11.25" customHeight="1">
      <c r="O423" s="1"/>
      <c r="P423" s="1"/>
      <c r="Q423" s="3"/>
      <c r="S423" s="1"/>
      <c r="T423" s="3"/>
    </row>
    <row r="424" ht="11.25" customHeight="1">
      <c r="O424" s="1"/>
      <c r="P424" s="1"/>
      <c r="Q424" s="3"/>
      <c r="S424" s="1"/>
      <c r="T424" s="3"/>
    </row>
    <row r="425" ht="11.25" customHeight="1">
      <c r="O425" s="1"/>
      <c r="P425" s="1"/>
      <c r="Q425" s="3"/>
      <c r="S425" s="1"/>
      <c r="T425" s="3"/>
    </row>
    <row r="426" ht="11.25" customHeight="1">
      <c r="O426" s="1"/>
      <c r="P426" s="1"/>
      <c r="Q426" s="3"/>
      <c r="S426" s="1"/>
      <c r="T426" s="3"/>
    </row>
    <row r="427" ht="11.25" customHeight="1">
      <c r="O427" s="1"/>
      <c r="P427" s="1"/>
      <c r="Q427" s="3"/>
      <c r="S427" s="1"/>
      <c r="T427" s="3"/>
    </row>
    <row r="428" ht="11.25" customHeight="1">
      <c r="O428" s="1"/>
      <c r="P428" s="1"/>
      <c r="Q428" s="3"/>
      <c r="S428" s="1"/>
      <c r="T428" s="3"/>
    </row>
    <row r="429" ht="11.25" customHeight="1">
      <c r="O429" s="1"/>
      <c r="P429" s="1"/>
      <c r="Q429" s="3"/>
      <c r="S429" s="1"/>
      <c r="T429" s="3"/>
    </row>
    <row r="430" ht="11.25" customHeight="1">
      <c r="O430" s="1"/>
      <c r="P430" s="1"/>
      <c r="Q430" s="3"/>
      <c r="S430" s="1"/>
      <c r="T430" s="3"/>
    </row>
    <row r="431" ht="11.25" customHeight="1">
      <c r="O431" s="1"/>
      <c r="P431" s="1"/>
      <c r="Q431" s="3"/>
      <c r="S431" s="1"/>
      <c r="T431" s="3"/>
    </row>
    <row r="432" ht="11.25" customHeight="1">
      <c r="O432" s="1"/>
      <c r="P432" s="1"/>
      <c r="Q432" s="3"/>
      <c r="S432" s="1"/>
      <c r="T432" s="3"/>
    </row>
    <row r="433" ht="11.25" customHeight="1">
      <c r="O433" s="1"/>
      <c r="P433" s="1"/>
      <c r="Q433" s="3"/>
      <c r="S433" s="1"/>
      <c r="T433" s="3"/>
    </row>
    <row r="434" ht="11.25" customHeight="1">
      <c r="O434" s="1"/>
      <c r="P434" s="1"/>
      <c r="Q434" s="3"/>
      <c r="S434" s="1"/>
      <c r="T434" s="3"/>
    </row>
    <row r="435" ht="11.25" customHeight="1">
      <c r="O435" s="1"/>
      <c r="P435" s="1"/>
      <c r="Q435" s="3"/>
      <c r="S435" s="1"/>
      <c r="T435" s="3"/>
    </row>
    <row r="436" ht="11.25" customHeight="1">
      <c r="O436" s="1"/>
      <c r="P436" s="1"/>
      <c r="Q436" s="3"/>
      <c r="S436" s="1"/>
      <c r="T436" s="3"/>
    </row>
    <row r="437" ht="11.25" customHeight="1">
      <c r="O437" s="1"/>
      <c r="P437" s="1"/>
      <c r="Q437" s="3"/>
      <c r="S437" s="1"/>
      <c r="T437" s="3"/>
    </row>
    <row r="438" ht="11.25" customHeight="1">
      <c r="O438" s="1"/>
      <c r="P438" s="1"/>
      <c r="Q438" s="3"/>
      <c r="S438" s="1"/>
      <c r="T438" s="3"/>
    </row>
    <row r="439" ht="11.25" customHeight="1">
      <c r="O439" s="1"/>
      <c r="P439" s="1"/>
      <c r="Q439" s="3"/>
      <c r="S439" s="1"/>
      <c r="T439" s="3"/>
    </row>
    <row r="440" ht="11.25" customHeight="1">
      <c r="O440" s="1"/>
      <c r="P440" s="1"/>
      <c r="Q440" s="3"/>
      <c r="S440" s="1"/>
      <c r="T440" s="3"/>
    </row>
    <row r="441" ht="11.25" customHeight="1">
      <c r="O441" s="1"/>
      <c r="P441" s="1"/>
      <c r="Q441" s="3"/>
      <c r="S441" s="1"/>
      <c r="T441" s="3"/>
    </row>
    <row r="442" ht="11.25" customHeight="1">
      <c r="O442" s="1"/>
      <c r="P442" s="1"/>
      <c r="Q442" s="3"/>
      <c r="S442" s="1"/>
      <c r="T442" s="3"/>
    </row>
    <row r="443" ht="11.25" customHeight="1">
      <c r="O443" s="1"/>
      <c r="P443" s="1"/>
      <c r="Q443" s="3"/>
      <c r="S443" s="1"/>
      <c r="T443" s="3"/>
    </row>
    <row r="444" ht="11.25" customHeight="1">
      <c r="O444" s="1"/>
      <c r="P444" s="1"/>
      <c r="Q444" s="3"/>
      <c r="S444" s="1"/>
      <c r="T444" s="3"/>
    </row>
    <row r="445" ht="11.25" customHeight="1">
      <c r="O445" s="1"/>
      <c r="P445" s="1"/>
      <c r="Q445" s="3"/>
      <c r="S445" s="1"/>
      <c r="T445" s="3"/>
    </row>
    <row r="446" ht="11.25" customHeight="1">
      <c r="O446" s="1"/>
      <c r="P446" s="1"/>
      <c r="Q446" s="3"/>
      <c r="S446" s="1"/>
      <c r="T446" s="3"/>
    </row>
    <row r="447" ht="11.25" customHeight="1">
      <c r="O447" s="1"/>
      <c r="P447" s="1"/>
      <c r="Q447" s="3"/>
      <c r="S447" s="1"/>
      <c r="T447" s="3"/>
    </row>
    <row r="448" ht="11.25" customHeight="1">
      <c r="O448" s="1"/>
      <c r="P448" s="1"/>
      <c r="Q448" s="3"/>
      <c r="S448" s="1"/>
      <c r="T448" s="3"/>
    </row>
    <row r="449" ht="11.25" customHeight="1">
      <c r="O449" s="1"/>
      <c r="P449" s="1"/>
      <c r="Q449" s="3"/>
      <c r="S449" s="1"/>
      <c r="T449" s="3"/>
    </row>
    <row r="450" ht="11.25" customHeight="1">
      <c r="O450" s="1"/>
      <c r="P450" s="1"/>
      <c r="Q450" s="3"/>
      <c r="S450" s="1"/>
      <c r="T450" s="3"/>
    </row>
    <row r="451" ht="11.25" customHeight="1">
      <c r="O451" s="1"/>
      <c r="P451" s="1"/>
      <c r="Q451" s="3"/>
      <c r="S451" s="1"/>
      <c r="T451" s="3"/>
    </row>
    <row r="452" ht="11.25" customHeight="1">
      <c r="O452" s="1"/>
      <c r="P452" s="1"/>
      <c r="Q452" s="3"/>
      <c r="S452" s="1"/>
      <c r="T452" s="3"/>
    </row>
    <row r="453" ht="11.25" customHeight="1">
      <c r="O453" s="1"/>
      <c r="P453" s="1"/>
      <c r="Q453" s="3"/>
      <c r="S453" s="1"/>
      <c r="T453" s="3"/>
    </row>
    <row r="454" ht="11.25" customHeight="1">
      <c r="O454" s="1"/>
      <c r="P454" s="1"/>
      <c r="Q454" s="3"/>
      <c r="S454" s="1"/>
      <c r="T454" s="3"/>
    </row>
    <row r="455" ht="11.25" customHeight="1">
      <c r="O455" s="1"/>
      <c r="P455" s="1"/>
      <c r="Q455" s="3"/>
      <c r="S455" s="1"/>
      <c r="T455" s="3"/>
    </row>
    <row r="456" ht="11.25" customHeight="1">
      <c r="O456" s="1"/>
      <c r="P456" s="1"/>
      <c r="Q456" s="3"/>
      <c r="S456" s="1"/>
      <c r="T456" s="3"/>
    </row>
    <row r="457" ht="11.25" customHeight="1">
      <c r="O457" s="1"/>
      <c r="P457" s="1"/>
      <c r="Q457" s="3"/>
      <c r="S457" s="1"/>
      <c r="T457" s="3"/>
    </row>
    <row r="458" ht="11.25" customHeight="1">
      <c r="O458" s="1"/>
      <c r="P458" s="1"/>
      <c r="Q458" s="3"/>
      <c r="S458" s="1"/>
      <c r="T458" s="3"/>
    </row>
    <row r="459" ht="11.25" customHeight="1">
      <c r="O459" s="1"/>
      <c r="P459" s="1"/>
      <c r="Q459" s="3"/>
      <c r="S459" s="1"/>
      <c r="T459" s="3"/>
    </row>
    <row r="460" ht="11.25" customHeight="1">
      <c r="O460" s="1"/>
      <c r="P460" s="1"/>
      <c r="Q460" s="3"/>
      <c r="S460" s="1"/>
      <c r="T460" s="3"/>
    </row>
    <row r="461" ht="11.25" customHeight="1">
      <c r="O461" s="1"/>
      <c r="P461" s="1"/>
      <c r="Q461" s="3"/>
      <c r="S461" s="1"/>
      <c r="T461" s="3"/>
    </row>
    <row r="462" ht="11.25" customHeight="1">
      <c r="O462" s="1"/>
      <c r="P462" s="1"/>
      <c r="Q462" s="3"/>
      <c r="S462" s="1"/>
      <c r="T462" s="3"/>
    </row>
    <row r="463" ht="11.25" customHeight="1">
      <c r="O463" s="1"/>
      <c r="P463" s="1"/>
      <c r="Q463" s="3"/>
      <c r="S463" s="1"/>
      <c r="T463" s="3"/>
    </row>
    <row r="464" ht="11.25" customHeight="1">
      <c r="O464" s="1"/>
      <c r="P464" s="1"/>
      <c r="Q464" s="3"/>
      <c r="S464" s="1"/>
      <c r="T464" s="3"/>
    </row>
    <row r="465" ht="11.25" customHeight="1">
      <c r="O465" s="1"/>
      <c r="P465" s="1"/>
      <c r="Q465" s="3"/>
      <c r="S465" s="1"/>
      <c r="T465" s="3"/>
    </row>
    <row r="466" ht="11.25" customHeight="1">
      <c r="O466" s="1"/>
      <c r="P466" s="1"/>
      <c r="Q466" s="3"/>
      <c r="S466" s="1"/>
      <c r="T466" s="3"/>
    </row>
    <row r="467" ht="11.25" customHeight="1">
      <c r="O467" s="1"/>
      <c r="P467" s="1"/>
      <c r="Q467" s="3"/>
      <c r="S467" s="1"/>
      <c r="T467" s="3"/>
    </row>
    <row r="468" ht="11.25" customHeight="1">
      <c r="O468" s="1"/>
      <c r="P468" s="1"/>
      <c r="Q468" s="3"/>
      <c r="S468" s="1"/>
      <c r="T468" s="3"/>
    </row>
    <row r="469" ht="11.25" customHeight="1">
      <c r="O469" s="1"/>
      <c r="P469" s="1"/>
      <c r="Q469" s="3"/>
      <c r="S469" s="1"/>
      <c r="T469" s="3"/>
    </row>
    <row r="470" ht="11.25" customHeight="1">
      <c r="O470" s="1"/>
      <c r="P470" s="1"/>
      <c r="Q470" s="3"/>
      <c r="S470" s="1"/>
      <c r="T470" s="3"/>
    </row>
    <row r="471" ht="11.25" customHeight="1">
      <c r="O471" s="1"/>
      <c r="P471" s="1"/>
      <c r="Q471" s="3"/>
      <c r="S471" s="1"/>
      <c r="T471" s="3"/>
    </row>
    <row r="472" ht="11.25" customHeight="1">
      <c r="O472" s="1"/>
      <c r="P472" s="1"/>
      <c r="Q472" s="3"/>
      <c r="S472" s="1"/>
      <c r="T472" s="3"/>
    </row>
    <row r="473" ht="11.25" customHeight="1">
      <c r="O473" s="1"/>
      <c r="P473" s="1"/>
      <c r="Q473" s="3"/>
      <c r="S473" s="1"/>
      <c r="T473" s="3"/>
    </row>
    <row r="474" ht="11.25" customHeight="1">
      <c r="O474" s="1"/>
      <c r="P474" s="1"/>
      <c r="Q474" s="3"/>
      <c r="S474" s="1"/>
      <c r="T474" s="3"/>
    </row>
    <row r="475" ht="11.25" customHeight="1">
      <c r="O475" s="1"/>
      <c r="P475" s="1"/>
      <c r="Q475" s="3"/>
      <c r="S475" s="1"/>
      <c r="T475" s="3"/>
    </row>
    <row r="476" ht="11.25" customHeight="1">
      <c r="O476" s="1"/>
      <c r="P476" s="1"/>
      <c r="Q476" s="3"/>
      <c r="S476" s="1"/>
      <c r="T476" s="3"/>
    </row>
    <row r="477" ht="11.25" customHeight="1">
      <c r="O477" s="1"/>
      <c r="P477" s="1"/>
      <c r="Q477" s="3"/>
      <c r="S477" s="1"/>
      <c r="T477" s="3"/>
    </row>
    <row r="478" ht="11.25" customHeight="1">
      <c r="O478" s="1"/>
      <c r="P478" s="1"/>
      <c r="Q478" s="3"/>
      <c r="S478" s="1"/>
      <c r="T478" s="3"/>
    </row>
    <row r="479" ht="11.25" customHeight="1">
      <c r="O479" s="1"/>
      <c r="P479" s="1"/>
      <c r="Q479" s="3"/>
      <c r="S479" s="1"/>
      <c r="T479" s="3"/>
    </row>
    <row r="480" ht="11.25" customHeight="1">
      <c r="O480" s="1"/>
      <c r="P480" s="1"/>
      <c r="Q480" s="3"/>
      <c r="S480" s="1"/>
      <c r="T480" s="3"/>
    </row>
    <row r="481" ht="11.25" customHeight="1">
      <c r="O481" s="1"/>
      <c r="P481" s="1"/>
      <c r="Q481" s="3"/>
      <c r="S481" s="1"/>
      <c r="T481" s="3"/>
    </row>
    <row r="482" ht="11.25" customHeight="1">
      <c r="O482" s="1"/>
      <c r="P482" s="1"/>
      <c r="Q482" s="3"/>
      <c r="S482" s="1"/>
      <c r="T482" s="3"/>
    </row>
    <row r="483" ht="11.25" customHeight="1">
      <c r="O483" s="1"/>
      <c r="P483" s="1"/>
      <c r="Q483" s="3"/>
      <c r="S483" s="1"/>
      <c r="T483" s="3"/>
    </row>
    <row r="484" ht="11.25" customHeight="1">
      <c r="O484" s="1"/>
      <c r="P484" s="1"/>
      <c r="Q484" s="3"/>
      <c r="S484" s="1"/>
      <c r="T484" s="3"/>
    </row>
    <row r="485" ht="11.25" customHeight="1">
      <c r="O485" s="1"/>
      <c r="P485" s="1"/>
      <c r="Q485" s="3"/>
      <c r="S485" s="1"/>
      <c r="T485" s="3"/>
    </row>
    <row r="486" ht="11.25" customHeight="1">
      <c r="O486" s="1"/>
      <c r="P486" s="1"/>
      <c r="Q486" s="3"/>
      <c r="S486" s="1"/>
      <c r="T486" s="3"/>
    </row>
    <row r="487" ht="11.25" customHeight="1">
      <c r="O487" s="1"/>
      <c r="P487" s="1"/>
      <c r="Q487" s="3"/>
      <c r="S487" s="1"/>
      <c r="T487" s="3"/>
    </row>
    <row r="488" ht="11.25" customHeight="1">
      <c r="O488" s="1"/>
      <c r="P488" s="1"/>
      <c r="Q488" s="3"/>
      <c r="S488" s="1"/>
      <c r="T488" s="3"/>
    </row>
    <row r="489" ht="11.25" customHeight="1">
      <c r="O489" s="1"/>
      <c r="P489" s="1"/>
      <c r="Q489" s="3"/>
      <c r="S489" s="1"/>
      <c r="T489" s="3"/>
    </row>
    <row r="490" ht="11.25" customHeight="1">
      <c r="O490" s="1"/>
      <c r="P490" s="1"/>
      <c r="Q490" s="3"/>
      <c r="S490" s="1"/>
      <c r="T490" s="3"/>
    </row>
    <row r="491" ht="11.25" customHeight="1">
      <c r="O491" s="1"/>
      <c r="P491" s="1"/>
      <c r="Q491" s="3"/>
      <c r="S491" s="1"/>
      <c r="T491" s="3"/>
    </row>
    <row r="492" ht="11.25" customHeight="1">
      <c r="O492" s="1"/>
      <c r="P492" s="1"/>
      <c r="Q492" s="3"/>
      <c r="S492" s="1"/>
      <c r="T492" s="3"/>
    </row>
    <row r="493" ht="11.25" customHeight="1">
      <c r="O493" s="1"/>
      <c r="P493" s="1"/>
      <c r="Q493" s="3"/>
      <c r="S493" s="1"/>
      <c r="T493" s="3"/>
    </row>
    <row r="494" ht="11.25" customHeight="1">
      <c r="O494" s="1"/>
      <c r="P494" s="1"/>
      <c r="Q494" s="3"/>
      <c r="S494" s="1"/>
      <c r="T494" s="3"/>
    </row>
    <row r="495" ht="11.25" customHeight="1">
      <c r="O495" s="1"/>
      <c r="P495" s="1"/>
      <c r="Q495" s="3"/>
      <c r="S495" s="1"/>
      <c r="T495" s="3"/>
    </row>
    <row r="496" ht="11.25" customHeight="1">
      <c r="O496" s="1"/>
      <c r="P496" s="1"/>
      <c r="Q496" s="3"/>
      <c r="S496" s="1"/>
      <c r="T496" s="3"/>
    </row>
    <row r="497" ht="11.25" customHeight="1">
      <c r="O497" s="1"/>
      <c r="P497" s="1"/>
      <c r="Q497" s="3"/>
      <c r="S497" s="1"/>
      <c r="T497" s="3"/>
    </row>
    <row r="498" ht="11.25" customHeight="1">
      <c r="O498" s="1"/>
      <c r="P498" s="1"/>
      <c r="Q498" s="3"/>
      <c r="S498" s="1"/>
      <c r="T498" s="3"/>
    </row>
    <row r="499" ht="11.25" customHeight="1">
      <c r="O499" s="1"/>
      <c r="P499" s="1"/>
      <c r="Q499" s="3"/>
      <c r="S499" s="1"/>
      <c r="T499" s="3"/>
    </row>
    <row r="500" ht="11.25" customHeight="1">
      <c r="O500" s="1"/>
      <c r="P500" s="1"/>
      <c r="Q500" s="3"/>
      <c r="S500" s="1"/>
      <c r="T500" s="3"/>
    </row>
    <row r="501" ht="11.25" customHeight="1">
      <c r="O501" s="1"/>
      <c r="P501" s="1"/>
      <c r="Q501" s="3"/>
      <c r="S501" s="1"/>
      <c r="T501" s="3"/>
    </row>
    <row r="502" ht="11.25" customHeight="1">
      <c r="O502" s="1"/>
      <c r="P502" s="1"/>
      <c r="Q502" s="3"/>
      <c r="S502" s="1"/>
      <c r="T502" s="3"/>
    </row>
    <row r="503" ht="11.25" customHeight="1">
      <c r="O503" s="1"/>
      <c r="P503" s="1"/>
      <c r="Q503" s="3"/>
      <c r="S503" s="1"/>
      <c r="T503" s="3"/>
    </row>
    <row r="504" ht="11.25" customHeight="1">
      <c r="O504" s="1"/>
      <c r="P504" s="1"/>
      <c r="Q504" s="3"/>
      <c r="S504" s="1"/>
      <c r="T504" s="3"/>
    </row>
    <row r="505" ht="11.25" customHeight="1">
      <c r="O505" s="1"/>
      <c r="P505" s="1"/>
      <c r="Q505" s="3"/>
      <c r="S505" s="1"/>
      <c r="T505" s="3"/>
    </row>
    <row r="506" ht="11.25" customHeight="1">
      <c r="O506" s="1"/>
      <c r="P506" s="1"/>
      <c r="Q506" s="3"/>
      <c r="S506" s="1"/>
      <c r="T506" s="3"/>
    </row>
    <row r="507" ht="11.25" customHeight="1">
      <c r="O507" s="1"/>
      <c r="P507" s="1"/>
      <c r="Q507" s="3"/>
      <c r="S507" s="1"/>
      <c r="T507" s="3"/>
    </row>
    <row r="508" ht="11.25" customHeight="1">
      <c r="O508" s="1"/>
      <c r="P508" s="1"/>
      <c r="Q508" s="3"/>
      <c r="S508" s="1"/>
      <c r="T508" s="3"/>
    </row>
    <row r="509" ht="11.25" customHeight="1">
      <c r="O509" s="1"/>
      <c r="P509" s="1"/>
      <c r="Q509" s="3"/>
      <c r="S509" s="1"/>
      <c r="T509" s="3"/>
    </row>
    <row r="510" ht="11.25" customHeight="1">
      <c r="O510" s="1"/>
      <c r="P510" s="1"/>
      <c r="Q510" s="3"/>
      <c r="S510" s="1"/>
      <c r="T510" s="3"/>
    </row>
    <row r="511" ht="11.25" customHeight="1">
      <c r="O511" s="1"/>
      <c r="P511" s="1"/>
      <c r="Q511" s="3"/>
      <c r="S511" s="1"/>
      <c r="T511" s="3"/>
    </row>
    <row r="512" ht="11.25" customHeight="1">
      <c r="O512" s="1"/>
      <c r="P512" s="1"/>
      <c r="Q512" s="3"/>
      <c r="S512" s="1"/>
      <c r="T512" s="3"/>
    </row>
    <row r="513" ht="11.25" customHeight="1">
      <c r="O513" s="1"/>
      <c r="P513" s="1"/>
      <c r="Q513" s="3"/>
      <c r="S513" s="1"/>
      <c r="T513" s="3"/>
    </row>
    <row r="514" ht="11.25" customHeight="1">
      <c r="O514" s="1"/>
      <c r="P514" s="1"/>
      <c r="Q514" s="3"/>
      <c r="S514" s="1"/>
      <c r="T514" s="3"/>
    </row>
    <row r="515" ht="11.25" customHeight="1">
      <c r="O515" s="1"/>
      <c r="P515" s="1"/>
      <c r="Q515" s="3"/>
      <c r="S515" s="1"/>
      <c r="T515" s="3"/>
    </row>
    <row r="516" ht="11.25" customHeight="1">
      <c r="O516" s="1"/>
      <c r="P516" s="1"/>
      <c r="Q516" s="3"/>
      <c r="S516" s="1"/>
      <c r="T516" s="3"/>
    </row>
    <row r="517" ht="11.25" customHeight="1">
      <c r="O517" s="1"/>
      <c r="P517" s="1"/>
      <c r="Q517" s="3"/>
      <c r="S517" s="1"/>
      <c r="T517" s="3"/>
    </row>
    <row r="518" ht="11.25" customHeight="1">
      <c r="O518" s="1"/>
      <c r="P518" s="1"/>
      <c r="Q518" s="3"/>
      <c r="S518" s="1"/>
      <c r="T518" s="3"/>
    </row>
    <row r="519" ht="11.25" customHeight="1">
      <c r="O519" s="1"/>
      <c r="P519" s="1"/>
      <c r="Q519" s="3"/>
      <c r="S519" s="1"/>
      <c r="T519" s="3"/>
    </row>
    <row r="520" ht="11.25" customHeight="1">
      <c r="O520" s="1"/>
      <c r="P520" s="1"/>
      <c r="Q520" s="3"/>
      <c r="S520" s="1"/>
      <c r="T520" s="3"/>
    </row>
    <row r="521" ht="11.25" customHeight="1">
      <c r="O521" s="1"/>
      <c r="P521" s="1"/>
      <c r="Q521" s="3"/>
      <c r="S521" s="1"/>
      <c r="T521" s="3"/>
    </row>
    <row r="522" ht="11.25" customHeight="1">
      <c r="O522" s="1"/>
      <c r="P522" s="1"/>
      <c r="Q522" s="3"/>
      <c r="S522" s="1"/>
      <c r="T522" s="3"/>
    </row>
    <row r="523" ht="11.25" customHeight="1">
      <c r="O523" s="1"/>
      <c r="P523" s="1"/>
      <c r="Q523" s="3"/>
      <c r="S523" s="1"/>
      <c r="T523" s="3"/>
    </row>
    <row r="524" ht="11.25" customHeight="1">
      <c r="O524" s="1"/>
      <c r="P524" s="1"/>
      <c r="Q524" s="3"/>
      <c r="S524" s="1"/>
      <c r="T524" s="3"/>
    </row>
    <row r="525" ht="11.25" customHeight="1">
      <c r="O525" s="1"/>
      <c r="P525" s="1"/>
      <c r="Q525" s="3"/>
      <c r="S525" s="1"/>
      <c r="T525" s="3"/>
    </row>
    <row r="526" ht="11.25" customHeight="1">
      <c r="O526" s="1"/>
      <c r="P526" s="1"/>
      <c r="Q526" s="3"/>
      <c r="S526" s="1"/>
      <c r="T526" s="3"/>
    </row>
    <row r="527" ht="11.25" customHeight="1">
      <c r="O527" s="1"/>
      <c r="P527" s="1"/>
      <c r="Q527" s="3"/>
      <c r="S527" s="1"/>
      <c r="T527" s="3"/>
    </row>
    <row r="528" ht="11.25" customHeight="1">
      <c r="O528" s="1"/>
      <c r="P528" s="1"/>
      <c r="Q528" s="3"/>
      <c r="S528" s="1"/>
      <c r="T528" s="3"/>
    </row>
    <row r="529" ht="11.25" customHeight="1">
      <c r="O529" s="1"/>
      <c r="P529" s="1"/>
      <c r="Q529" s="3"/>
      <c r="S529" s="1"/>
      <c r="T529" s="3"/>
    </row>
    <row r="530" ht="11.25" customHeight="1">
      <c r="O530" s="1"/>
      <c r="P530" s="1"/>
      <c r="Q530" s="3"/>
      <c r="S530" s="1"/>
      <c r="T530" s="3"/>
    </row>
    <row r="531" ht="11.25" customHeight="1">
      <c r="O531" s="1"/>
      <c r="P531" s="1"/>
      <c r="Q531" s="3"/>
      <c r="S531" s="1"/>
      <c r="T531" s="3"/>
    </row>
    <row r="532" ht="11.25" customHeight="1">
      <c r="O532" s="1"/>
      <c r="P532" s="1"/>
      <c r="Q532" s="3"/>
      <c r="S532" s="1"/>
      <c r="T532" s="3"/>
    </row>
    <row r="533" ht="11.25" customHeight="1">
      <c r="O533" s="1"/>
      <c r="P533" s="1"/>
      <c r="Q533" s="3"/>
      <c r="S533" s="1"/>
      <c r="T533" s="3"/>
    </row>
    <row r="534" ht="11.25" customHeight="1">
      <c r="O534" s="1"/>
      <c r="P534" s="1"/>
      <c r="Q534" s="3"/>
      <c r="S534" s="1"/>
      <c r="T534" s="3"/>
    </row>
    <row r="535" ht="11.25" customHeight="1">
      <c r="O535" s="1"/>
      <c r="P535" s="1"/>
      <c r="Q535" s="3"/>
      <c r="S535" s="1"/>
      <c r="T535" s="3"/>
    </row>
    <row r="536" ht="11.25" customHeight="1">
      <c r="O536" s="1"/>
      <c r="P536" s="1"/>
      <c r="Q536" s="3"/>
      <c r="S536" s="1"/>
      <c r="T536" s="3"/>
    </row>
    <row r="537" ht="11.25" customHeight="1">
      <c r="O537" s="1"/>
      <c r="P537" s="1"/>
      <c r="Q537" s="3"/>
      <c r="S537" s="1"/>
      <c r="T537" s="3"/>
    </row>
    <row r="538" ht="11.25" customHeight="1">
      <c r="O538" s="1"/>
      <c r="P538" s="1"/>
      <c r="Q538" s="3"/>
      <c r="S538" s="1"/>
      <c r="T538" s="3"/>
    </row>
    <row r="539" ht="11.25" customHeight="1">
      <c r="O539" s="1"/>
      <c r="P539" s="1"/>
      <c r="Q539" s="3"/>
      <c r="S539" s="1"/>
      <c r="T539" s="3"/>
    </row>
    <row r="540" ht="11.25" customHeight="1">
      <c r="O540" s="1"/>
      <c r="P540" s="1"/>
      <c r="Q540" s="3"/>
      <c r="S540" s="1"/>
      <c r="T540" s="3"/>
    </row>
    <row r="541" ht="11.25" customHeight="1">
      <c r="O541" s="1"/>
      <c r="P541" s="1"/>
      <c r="Q541" s="3"/>
      <c r="S541" s="1"/>
      <c r="T541" s="3"/>
    </row>
    <row r="542" ht="11.25" customHeight="1">
      <c r="O542" s="1"/>
      <c r="P542" s="1"/>
      <c r="Q542" s="3"/>
      <c r="S542" s="1"/>
      <c r="T542" s="3"/>
    </row>
    <row r="543" ht="11.25" customHeight="1">
      <c r="O543" s="1"/>
      <c r="P543" s="1"/>
      <c r="Q543" s="3"/>
      <c r="S543" s="1"/>
      <c r="T543" s="3"/>
    </row>
    <row r="544" ht="11.25" customHeight="1">
      <c r="O544" s="1"/>
      <c r="P544" s="1"/>
      <c r="Q544" s="3"/>
      <c r="S544" s="1"/>
      <c r="T544" s="3"/>
    </row>
    <row r="545" ht="11.25" customHeight="1">
      <c r="O545" s="1"/>
      <c r="P545" s="1"/>
      <c r="Q545" s="3"/>
      <c r="S545" s="1"/>
      <c r="T545" s="3"/>
    </row>
    <row r="546" ht="11.25" customHeight="1">
      <c r="O546" s="1"/>
      <c r="P546" s="1"/>
      <c r="Q546" s="3"/>
      <c r="S546" s="1"/>
      <c r="T546" s="3"/>
    </row>
    <row r="547" ht="11.25" customHeight="1">
      <c r="O547" s="1"/>
      <c r="P547" s="1"/>
      <c r="Q547" s="3"/>
      <c r="S547" s="1"/>
      <c r="T547" s="3"/>
    </row>
    <row r="548" ht="11.25" customHeight="1">
      <c r="O548" s="1"/>
      <c r="P548" s="1"/>
      <c r="Q548" s="3"/>
      <c r="S548" s="1"/>
      <c r="T548" s="3"/>
    </row>
    <row r="549" ht="11.25" customHeight="1">
      <c r="O549" s="1"/>
      <c r="P549" s="1"/>
      <c r="Q549" s="3"/>
      <c r="S549" s="1"/>
      <c r="T549" s="3"/>
    </row>
    <row r="550" ht="11.25" customHeight="1">
      <c r="O550" s="1"/>
      <c r="P550" s="1"/>
      <c r="Q550" s="3"/>
      <c r="S550" s="1"/>
      <c r="T550" s="3"/>
    </row>
    <row r="551" ht="11.25" customHeight="1">
      <c r="O551" s="1"/>
      <c r="P551" s="1"/>
      <c r="Q551" s="3"/>
      <c r="S551" s="1"/>
      <c r="T551" s="3"/>
    </row>
    <row r="552" ht="11.25" customHeight="1">
      <c r="O552" s="1"/>
      <c r="P552" s="1"/>
      <c r="Q552" s="3"/>
      <c r="S552" s="1"/>
      <c r="T552" s="3"/>
    </row>
    <row r="553" ht="11.25" customHeight="1">
      <c r="O553" s="1"/>
      <c r="P553" s="1"/>
      <c r="Q553" s="3"/>
      <c r="S553" s="1"/>
      <c r="T553" s="3"/>
    </row>
    <row r="554" ht="11.25" customHeight="1">
      <c r="O554" s="1"/>
      <c r="P554" s="1"/>
      <c r="Q554" s="3"/>
      <c r="S554" s="1"/>
      <c r="T554" s="3"/>
    </row>
    <row r="555" ht="11.25" customHeight="1">
      <c r="O555" s="1"/>
      <c r="P555" s="1"/>
      <c r="Q555" s="3"/>
      <c r="S555" s="1"/>
      <c r="T555" s="3"/>
    </row>
    <row r="556" ht="11.25" customHeight="1">
      <c r="O556" s="1"/>
      <c r="P556" s="1"/>
      <c r="Q556" s="3"/>
      <c r="S556" s="1"/>
      <c r="T556" s="3"/>
    </row>
    <row r="557" ht="11.25" customHeight="1">
      <c r="O557" s="1"/>
      <c r="P557" s="1"/>
      <c r="Q557" s="3"/>
      <c r="S557" s="1"/>
      <c r="T557" s="3"/>
    </row>
    <row r="558" ht="11.25" customHeight="1">
      <c r="O558" s="1"/>
      <c r="P558" s="1"/>
      <c r="Q558" s="3"/>
      <c r="S558" s="1"/>
      <c r="T558" s="3"/>
    </row>
    <row r="559" ht="11.25" customHeight="1">
      <c r="O559" s="1"/>
      <c r="P559" s="1"/>
      <c r="Q559" s="3"/>
      <c r="S559" s="1"/>
      <c r="T559" s="3"/>
    </row>
    <row r="560" ht="11.25" customHeight="1">
      <c r="O560" s="1"/>
      <c r="P560" s="1"/>
      <c r="Q560" s="3"/>
      <c r="S560" s="1"/>
      <c r="T560" s="3"/>
    </row>
    <row r="561" ht="11.25" customHeight="1">
      <c r="O561" s="1"/>
      <c r="P561" s="1"/>
      <c r="Q561" s="3"/>
      <c r="S561" s="1"/>
      <c r="T561" s="3"/>
    </row>
    <row r="562" ht="11.25" customHeight="1">
      <c r="O562" s="1"/>
      <c r="P562" s="1"/>
      <c r="Q562" s="3"/>
      <c r="S562" s="1"/>
      <c r="T562" s="3"/>
    </row>
    <row r="563" ht="11.25" customHeight="1">
      <c r="O563" s="1"/>
      <c r="P563" s="1"/>
      <c r="Q563" s="3"/>
      <c r="S563" s="1"/>
      <c r="T563" s="3"/>
    </row>
    <row r="564" ht="11.25" customHeight="1">
      <c r="O564" s="1"/>
      <c r="P564" s="1"/>
      <c r="Q564" s="3"/>
      <c r="S564" s="1"/>
      <c r="T564" s="3"/>
    </row>
    <row r="565" ht="11.25" customHeight="1">
      <c r="O565" s="1"/>
      <c r="P565" s="1"/>
      <c r="Q565" s="3"/>
      <c r="S565" s="1"/>
      <c r="T565" s="3"/>
    </row>
    <row r="566" ht="11.25" customHeight="1">
      <c r="O566" s="1"/>
      <c r="P566" s="1"/>
      <c r="Q566" s="3"/>
      <c r="S566" s="1"/>
      <c r="T566" s="3"/>
    </row>
    <row r="567" ht="11.25" customHeight="1">
      <c r="O567" s="1"/>
      <c r="P567" s="1"/>
      <c r="Q567" s="3"/>
      <c r="S567" s="1"/>
      <c r="T567" s="3"/>
    </row>
    <row r="568" ht="11.25" customHeight="1">
      <c r="O568" s="1"/>
      <c r="P568" s="1"/>
      <c r="Q568" s="3"/>
      <c r="S568" s="1"/>
      <c r="T568" s="3"/>
    </row>
    <row r="569" ht="11.25" customHeight="1">
      <c r="O569" s="1"/>
      <c r="P569" s="1"/>
      <c r="Q569" s="3"/>
      <c r="S569" s="1"/>
      <c r="T569" s="3"/>
    </row>
    <row r="570" ht="11.25" customHeight="1">
      <c r="O570" s="1"/>
      <c r="P570" s="1"/>
      <c r="Q570" s="3"/>
      <c r="S570" s="1"/>
      <c r="T570" s="3"/>
    </row>
    <row r="571" ht="11.25" customHeight="1">
      <c r="O571" s="1"/>
      <c r="P571" s="1"/>
      <c r="Q571" s="3"/>
      <c r="S571" s="1"/>
      <c r="T571" s="3"/>
    </row>
    <row r="572" ht="11.25" customHeight="1">
      <c r="O572" s="1"/>
      <c r="P572" s="1"/>
      <c r="Q572" s="3"/>
      <c r="S572" s="1"/>
      <c r="T572" s="3"/>
    </row>
    <row r="573" ht="11.25" customHeight="1">
      <c r="O573" s="1"/>
      <c r="P573" s="1"/>
      <c r="Q573" s="3"/>
      <c r="S573" s="1"/>
      <c r="T573" s="3"/>
    </row>
    <row r="574" ht="11.25" customHeight="1">
      <c r="O574" s="1"/>
      <c r="P574" s="1"/>
      <c r="Q574" s="3"/>
      <c r="S574" s="1"/>
      <c r="T574" s="3"/>
    </row>
    <row r="575" ht="11.25" customHeight="1">
      <c r="O575" s="1"/>
      <c r="P575" s="1"/>
      <c r="Q575" s="3"/>
      <c r="S575" s="1"/>
      <c r="T575" s="3"/>
    </row>
    <row r="576" ht="11.25" customHeight="1">
      <c r="O576" s="1"/>
      <c r="P576" s="1"/>
      <c r="Q576" s="3"/>
      <c r="S576" s="1"/>
      <c r="T576" s="3"/>
    </row>
    <row r="577" ht="11.25" customHeight="1">
      <c r="O577" s="1"/>
      <c r="P577" s="1"/>
      <c r="Q577" s="3"/>
      <c r="S577" s="1"/>
      <c r="T577" s="3"/>
    </row>
    <row r="578" ht="11.25" customHeight="1">
      <c r="O578" s="1"/>
      <c r="P578" s="1"/>
      <c r="Q578" s="3"/>
      <c r="S578" s="1"/>
      <c r="T578" s="3"/>
    </row>
    <row r="579" ht="11.25" customHeight="1">
      <c r="O579" s="1"/>
      <c r="P579" s="1"/>
      <c r="Q579" s="3"/>
      <c r="S579" s="1"/>
      <c r="T579" s="3"/>
    </row>
    <row r="580" ht="11.25" customHeight="1">
      <c r="O580" s="1"/>
      <c r="P580" s="1"/>
      <c r="Q580" s="3"/>
      <c r="S580" s="1"/>
      <c r="T580" s="3"/>
    </row>
    <row r="581" ht="11.25" customHeight="1">
      <c r="O581" s="1"/>
      <c r="P581" s="1"/>
      <c r="Q581" s="3"/>
      <c r="S581" s="1"/>
      <c r="T581" s="3"/>
    </row>
    <row r="582" ht="11.25" customHeight="1">
      <c r="O582" s="1"/>
      <c r="P582" s="1"/>
      <c r="Q582" s="3"/>
      <c r="S582" s="1"/>
      <c r="T582" s="3"/>
    </row>
    <row r="583" ht="11.25" customHeight="1">
      <c r="O583" s="1"/>
      <c r="P583" s="1"/>
      <c r="Q583" s="3"/>
      <c r="S583" s="1"/>
      <c r="T583" s="3"/>
    </row>
    <row r="584" ht="11.25" customHeight="1">
      <c r="O584" s="1"/>
      <c r="P584" s="1"/>
      <c r="Q584" s="3"/>
      <c r="S584" s="1"/>
      <c r="T584" s="3"/>
    </row>
    <row r="585" ht="11.25" customHeight="1">
      <c r="O585" s="1"/>
      <c r="P585" s="1"/>
      <c r="Q585" s="3"/>
      <c r="S585" s="1"/>
      <c r="T585" s="3"/>
    </row>
    <row r="586" ht="11.25" customHeight="1">
      <c r="O586" s="1"/>
      <c r="P586" s="1"/>
      <c r="Q586" s="3"/>
      <c r="S586" s="1"/>
      <c r="T586" s="3"/>
    </row>
    <row r="587" ht="11.25" customHeight="1">
      <c r="O587" s="1"/>
      <c r="P587" s="1"/>
      <c r="Q587" s="3"/>
      <c r="S587" s="1"/>
      <c r="T587" s="3"/>
    </row>
    <row r="588" ht="11.25" customHeight="1">
      <c r="O588" s="1"/>
      <c r="P588" s="1"/>
      <c r="Q588" s="3"/>
      <c r="S588" s="1"/>
      <c r="T588" s="3"/>
    </row>
    <row r="589" ht="11.25" customHeight="1">
      <c r="O589" s="1"/>
      <c r="P589" s="1"/>
      <c r="Q589" s="3"/>
      <c r="S589" s="1"/>
      <c r="T589" s="3"/>
    </row>
    <row r="590" ht="11.25" customHeight="1">
      <c r="O590" s="1"/>
      <c r="P590" s="1"/>
      <c r="Q590" s="3"/>
      <c r="S590" s="1"/>
      <c r="T590" s="3"/>
    </row>
    <row r="591" ht="11.25" customHeight="1">
      <c r="O591" s="1"/>
      <c r="P591" s="1"/>
      <c r="Q591" s="3"/>
      <c r="S591" s="1"/>
      <c r="T591" s="3"/>
    </row>
    <row r="592" ht="11.25" customHeight="1">
      <c r="O592" s="1"/>
      <c r="P592" s="1"/>
      <c r="Q592" s="3"/>
      <c r="S592" s="1"/>
      <c r="T592" s="3"/>
    </row>
    <row r="593" ht="11.25" customHeight="1">
      <c r="O593" s="1"/>
      <c r="P593" s="1"/>
      <c r="Q593" s="3"/>
      <c r="S593" s="1"/>
      <c r="T593" s="3"/>
    </row>
    <row r="594" ht="11.25" customHeight="1">
      <c r="O594" s="1"/>
      <c r="P594" s="1"/>
      <c r="Q594" s="3"/>
      <c r="S594" s="1"/>
      <c r="T594" s="3"/>
    </row>
    <row r="595" ht="11.25" customHeight="1">
      <c r="O595" s="1"/>
      <c r="P595" s="1"/>
      <c r="Q595" s="3"/>
      <c r="S595" s="1"/>
      <c r="T595" s="3"/>
    </row>
    <row r="596" ht="11.25" customHeight="1">
      <c r="O596" s="1"/>
      <c r="P596" s="1"/>
      <c r="Q596" s="3"/>
      <c r="S596" s="1"/>
      <c r="T596" s="3"/>
    </row>
    <row r="597" ht="11.25" customHeight="1">
      <c r="O597" s="1"/>
      <c r="P597" s="1"/>
      <c r="Q597" s="3"/>
      <c r="S597" s="1"/>
      <c r="T597" s="3"/>
    </row>
    <row r="598" ht="11.25" customHeight="1">
      <c r="O598" s="1"/>
      <c r="P598" s="1"/>
      <c r="Q598" s="3"/>
      <c r="S598" s="1"/>
      <c r="T598" s="3"/>
    </row>
    <row r="599" ht="11.25" customHeight="1">
      <c r="O599" s="1"/>
      <c r="P599" s="1"/>
      <c r="Q599" s="3"/>
      <c r="S599" s="1"/>
      <c r="T599" s="3"/>
    </row>
    <row r="600" ht="11.25" customHeight="1">
      <c r="O600" s="1"/>
      <c r="P600" s="1"/>
      <c r="Q600" s="3"/>
      <c r="S600" s="1"/>
      <c r="T600" s="3"/>
    </row>
    <row r="601" ht="11.25" customHeight="1">
      <c r="O601" s="1"/>
      <c r="P601" s="1"/>
      <c r="Q601" s="3"/>
      <c r="S601" s="1"/>
      <c r="T601" s="3"/>
    </row>
    <row r="602" ht="11.25" customHeight="1">
      <c r="O602" s="1"/>
      <c r="P602" s="1"/>
      <c r="Q602" s="3"/>
      <c r="S602" s="1"/>
      <c r="T602" s="3"/>
    </row>
    <row r="603" ht="11.25" customHeight="1">
      <c r="O603" s="1"/>
      <c r="P603" s="1"/>
      <c r="Q603" s="3"/>
      <c r="S603" s="1"/>
      <c r="T603" s="3"/>
    </row>
    <row r="604" ht="11.25" customHeight="1">
      <c r="O604" s="1"/>
      <c r="P604" s="1"/>
      <c r="Q604" s="3"/>
      <c r="S604" s="1"/>
      <c r="T604" s="3"/>
    </row>
    <row r="605" ht="11.25" customHeight="1">
      <c r="O605" s="1"/>
      <c r="P605" s="1"/>
      <c r="Q605" s="3"/>
      <c r="S605" s="1"/>
      <c r="T605" s="3"/>
    </row>
    <row r="606" ht="11.25" customHeight="1">
      <c r="O606" s="1"/>
      <c r="P606" s="1"/>
      <c r="Q606" s="3"/>
      <c r="S606" s="1"/>
      <c r="T606" s="3"/>
    </row>
    <row r="607" ht="11.25" customHeight="1">
      <c r="O607" s="1"/>
      <c r="P607" s="1"/>
      <c r="Q607" s="3"/>
      <c r="S607" s="1"/>
      <c r="T607" s="3"/>
    </row>
    <row r="608" ht="11.25" customHeight="1">
      <c r="O608" s="1"/>
      <c r="P608" s="1"/>
      <c r="Q608" s="3"/>
      <c r="S608" s="1"/>
      <c r="T608" s="3"/>
    </row>
    <row r="609" ht="11.25" customHeight="1">
      <c r="O609" s="1"/>
      <c r="P609" s="1"/>
      <c r="Q609" s="3"/>
      <c r="S609" s="1"/>
      <c r="T609" s="3"/>
    </row>
    <row r="610" ht="11.25" customHeight="1">
      <c r="O610" s="1"/>
      <c r="P610" s="1"/>
      <c r="Q610" s="3"/>
      <c r="S610" s="1"/>
      <c r="T610" s="3"/>
    </row>
    <row r="611" ht="11.25" customHeight="1">
      <c r="O611" s="1"/>
      <c r="P611" s="1"/>
      <c r="Q611" s="3"/>
      <c r="S611" s="1"/>
      <c r="T611" s="3"/>
    </row>
    <row r="612" ht="11.25" customHeight="1">
      <c r="O612" s="1"/>
      <c r="P612" s="1"/>
      <c r="Q612" s="3"/>
      <c r="S612" s="1"/>
      <c r="T612" s="3"/>
    </row>
    <row r="613" ht="11.25" customHeight="1">
      <c r="O613" s="1"/>
      <c r="P613" s="1"/>
      <c r="Q613" s="3"/>
      <c r="S613" s="1"/>
      <c r="T613" s="3"/>
    </row>
    <row r="614" ht="11.25" customHeight="1">
      <c r="O614" s="1"/>
      <c r="P614" s="1"/>
      <c r="Q614" s="3"/>
      <c r="S614" s="1"/>
      <c r="T614" s="3"/>
    </row>
    <row r="615" ht="11.25" customHeight="1">
      <c r="O615" s="1"/>
      <c r="P615" s="1"/>
      <c r="Q615" s="3"/>
      <c r="S615" s="1"/>
      <c r="T615" s="3"/>
    </row>
    <row r="616" ht="11.25" customHeight="1">
      <c r="O616" s="1"/>
      <c r="P616" s="1"/>
      <c r="Q616" s="3"/>
      <c r="S616" s="1"/>
      <c r="T616" s="3"/>
    </row>
    <row r="617" ht="11.25" customHeight="1">
      <c r="O617" s="1"/>
      <c r="P617" s="1"/>
      <c r="Q617" s="3"/>
      <c r="S617" s="1"/>
      <c r="T617" s="3"/>
    </row>
    <row r="618" ht="11.25" customHeight="1">
      <c r="O618" s="1"/>
      <c r="P618" s="1"/>
      <c r="Q618" s="3"/>
      <c r="S618" s="1"/>
      <c r="T618" s="3"/>
    </row>
    <row r="619" ht="11.25" customHeight="1">
      <c r="O619" s="1"/>
      <c r="P619" s="1"/>
      <c r="Q619" s="3"/>
      <c r="S619" s="1"/>
      <c r="T619" s="3"/>
    </row>
    <row r="620" ht="11.25" customHeight="1">
      <c r="O620" s="1"/>
      <c r="P620" s="1"/>
      <c r="Q620" s="3"/>
      <c r="S620" s="1"/>
      <c r="T620" s="3"/>
    </row>
    <row r="621" ht="11.25" customHeight="1">
      <c r="O621" s="1"/>
      <c r="P621" s="1"/>
      <c r="Q621" s="3"/>
      <c r="S621" s="1"/>
      <c r="T621" s="3"/>
    </row>
    <row r="622" ht="11.25" customHeight="1">
      <c r="O622" s="1"/>
      <c r="P622" s="1"/>
      <c r="Q622" s="3"/>
      <c r="S622" s="1"/>
      <c r="T622" s="3"/>
    </row>
    <row r="623" ht="11.25" customHeight="1">
      <c r="O623" s="1"/>
      <c r="P623" s="1"/>
      <c r="Q623" s="3"/>
      <c r="S623" s="1"/>
      <c r="T623" s="3"/>
    </row>
    <row r="624" ht="11.25" customHeight="1">
      <c r="O624" s="1"/>
      <c r="P624" s="1"/>
      <c r="Q624" s="3"/>
      <c r="S624" s="1"/>
      <c r="T624" s="3"/>
    </row>
    <row r="625" ht="11.25" customHeight="1">
      <c r="O625" s="1"/>
      <c r="P625" s="1"/>
      <c r="Q625" s="3"/>
      <c r="S625" s="1"/>
      <c r="T625" s="3"/>
    </row>
    <row r="626" ht="11.25" customHeight="1">
      <c r="O626" s="1"/>
      <c r="P626" s="1"/>
      <c r="Q626" s="3"/>
      <c r="S626" s="1"/>
      <c r="T626" s="3"/>
    </row>
    <row r="627" ht="11.25" customHeight="1">
      <c r="O627" s="1"/>
      <c r="P627" s="1"/>
      <c r="Q627" s="3"/>
      <c r="S627" s="1"/>
      <c r="T627" s="3"/>
    </row>
    <row r="628" ht="11.25" customHeight="1">
      <c r="O628" s="1"/>
      <c r="P628" s="1"/>
      <c r="Q628" s="3"/>
      <c r="S628" s="1"/>
      <c r="T628" s="3"/>
    </row>
    <row r="629" ht="11.25" customHeight="1">
      <c r="O629" s="1"/>
      <c r="P629" s="1"/>
      <c r="Q629" s="3"/>
      <c r="S629" s="1"/>
      <c r="T629" s="3"/>
    </row>
    <row r="630" ht="11.25" customHeight="1">
      <c r="O630" s="1"/>
      <c r="P630" s="1"/>
      <c r="Q630" s="3"/>
      <c r="S630" s="1"/>
      <c r="T630" s="3"/>
    </row>
    <row r="631" ht="11.25" customHeight="1">
      <c r="O631" s="1"/>
      <c r="P631" s="1"/>
      <c r="Q631" s="3"/>
      <c r="S631" s="1"/>
      <c r="T631" s="3"/>
    </row>
    <row r="632" ht="11.25" customHeight="1">
      <c r="O632" s="1"/>
      <c r="P632" s="1"/>
      <c r="Q632" s="3"/>
      <c r="S632" s="1"/>
      <c r="T632" s="3"/>
    </row>
    <row r="633" ht="11.25" customHeight="1">
      <c r="O633" s="1"/>
      <c r="P633" s="1"/>
      <c r="Q633" s="3"/>
      <c r="S633" s="1"/>
      <c r="T633" s="3"/>
    </row>
    <row r="634" ht="11.25" customHeight="1">
      <c r="O634" s="1"/>
      <c r="P634" s="1"/>
      <c r="Q634" s="3"/>
      <c r="S634" s="1"/>
      <c r="T634" s="3"/>
    </row>
    <row r="635" ht="11.25" customHeight="1">
      <c r="O635" s="1"/>
      <c r="P635" s="1"/>
      <c r="Q635" s="3"/>
      <c r="S635" s="1"/>
      <c r="T635" s="3"/>
    </row>
    <row r="636" ht="11.25" customHeight="1">
      <c r="O636" s="1"/>
      <c r="P636" s="1"/>
      <c r="Q636" s="3"/>
      <c r="S636" s="1"/>
      <c r="T636" s="3"/>
    </row>
    <row r="637" ht="11.25" customHeight="1">
      <c r="O637" s="1"/>
      <c r="P637" s="1"/>
      <c r="Q637" s="3"/>
      <c r="S637" s="1"/>
      <c r="T637" s="3"/>
    </row>
    <row r="638" ht="11.25" customHeight="1">
      <c r="O638" s="1"/>
      <c r="P638" s="1"/>
      <c r="Q638" s="3"/>
      <c r="S638" s="1"/>
      <c r="T638" s="3"/>
    </row>
    <row r="639" ht="11.25" customHeight="1">
      <c r="O639" s="1"/>
      <c r="P639" s="1"/>
      <c r="Q639" s="3"/>
      <c r="S639" s="1"/>
      <c r="T639" s="3"/>
    </row>
    <row r="640" ht="11.25" customHeight="1">
      <c r="O640" s="1"/>
      <c r="P640" s="1"/>
      <c r="Q640" s="3"/>
      <c r="S640" s="1"/>
      <c r="T640" s="3"/>
    </row>
    <row r="641" ht="11.25" customHeight="1">
      <c r="O641" s="1"/>
      <c r="P641" s="1"/>
      <c r="Q641" s="3"/>
      <c r="S641" s="1"/>
      <c r="T641" s="3"/>
    </row>
    <row r="642" ht="11.25" customHeight="1">
      <c r="O642" s="1"/>
      <c r="P642" s="1"/>
      <c r="Q642" s="3"/>
      <c r="S642" s="1"/>
      <c r="T642" s="3"/>
    </row>
    <row r="643" ht="11.25" customHeight="1">
      <c r="O643" s="1"/>
      <c r="P643" s="1"/>
      <c r="Q643" s="3"/>
      <c r="S643" s="1"/>
      <c r="T643" s="3"/>
    </row>
    <row r="644" ht="11.25" customHeight="1">
      <c r="O644" s="1"/>
      <c r="P644" s="1"/>
      <c r="Q644" s="3"/>
      <c r="S644" s="1"/>
      <c r="T644" s="3"/>
    </row>
    <row r="645" ht="11.25" customHeight="1">
      <c r="O645" s="1"/>
      <c r="P645" s="1"/>
      <c r="Q645" s="3"/>
      <c r="S645" s="1"/>
      <c r="T645" s="3"/>
    </row>
    <row r="646" ht="11.25" customHeight="1">
      <c r="O646" s="1"/>
      <c r="P646" s="1"/>
      <c r="Q646" s="3"/>
      <c r="S646" s="1"/>
      <c r="T646" s="3"/>
    </row>
    <row r="647" ht="11.25" customHeight="1">
      <c r="O647" s="1"/>
      <c r="P647" s="1"/>
      <c r="Q647" s="3"/>
      <c r="S647" s="1"/>
      <c r="T647" s="3"/>
    </row>
    <row r="648" ht="11.25" customHeight="1">
      <c r="O648" s="1"/>
      <c r="P648" s="1"/>
      <c r="Q648" s="3"/>
      <c r="S648" s="1"/>
      <c r="T648" s="3"/>
    </row>
    <row r="649" ht="11.25" customHeight="1">
      <c r="O649" s="1"/>
      <c r="P649" s="1"/>
      <c r="Q649" s="3"/>
      <c r="S649" s="1"/>
      <c r="T649" s="3"/>
    </row>
    <row r="650" ht="11.25" customHeight="1">
      <c r="O650" s="1"/>
      <c r="P650" s="1"/>
      <c r="Q650" s="3"/>
      <c r="S650" s="1"/>
      <c r="T650" s="3"/>
    </row>
    <row r="651" ht="11.25" customHeight="1">
      <c r="O651" s="1"/>
      <c r="P651" s="1"/>
      <c r="Q651" s="3"/>
      <c r="S651" s="1"/>
      <c r="T651" s="3"/>
    </row>
    <row r="652" ht="11.25" customHeight="1">
      <c r="O652" s="1"/>
      <c r="P652" s="1"/>
      <c r="Q652" s="3"/>
      <c r="S652" s="1"/>
      <c r="T652" s="3"/>
    </row>
    <row r="653" ht="11.25" customHeight="1">
      <c r="O653" s="1"/>
      <c r="P653" s="1"/>
      <c r="Q653" s="3"/>
      <c r="S653" s="1"/>
      <c r="T653" s="3"/>
    </row>
    <row r="654" ht="11.25" customHeight="1">
      <c r="O654" s="1"/>
      <c r="P654" s="1"/>
      <c r="Q654" s="3"/>
      <c r="S654" s="1"/>
      <c r="T654" s="3"/>
    </row>
    <row r="655" ht="11.25" customHeight="1">
      <c r="O655" s="1"/>
      <c r="P655" s="1"/>
      <c r="Q655" s="3"/>
      <c r="S655" s="1"/>
      <c r="T655" s="3"/>
    </row>
    <row r="656" ht="11.25" customHeight="1">
      <c r="O656" s="1"/>
      <c r="P656" s="1"/>
      <c r="Q656" s="3"/>
      <c r="S656" s="1"/>
      <c r="T656" s="3"/>
    </row>
    <row r="657" ht="11.25" customHeight="1">
      <c r="O657" s="1"/>
      <c r="P657" s="1"/>
      <c r="Q657" s="3"/>
      <c r="S657" s="1"/>
      <c r="T657" s="3"/>
    </row>
    <row r="658" ht="11.25" customHeight="1">
      <c r="O658" s="1"/>
      <c r="P658" s="1"/>
      <c r="Q658" s="3"/>
      <c r="S658" s="1"/>
      <c r="T658" s="3"/>
    </row>
    <row r="659" ht="11.25" customHeight="1">
      <c r="O659" s="1"/>
      <c r="P659" s="1"/>
      <c r="Q659" s="3"/>
      <c r="S659" s="1"/>
      <c r="T659" s="3"/>
    </row>
    <row r="660" ht="11.25" customHeight="1">
      <c r="O660" s="1"/>
      <c r="P660" s="1"/>
      <c r="Q660" s="3"/>
      <c r="S660" s="1"/>
      <c r="T660" s="3"/>
    </row>
    <row r="661" ht="11.25" customHeight="1">
      <c r="O661" s="1"/>
      <c r="P661" s="1"/>
      <c r="Q661" s="3"/>
      <c r="S661" s="1"/>
      <c r="T661" s="3"/>
    </row>
    <row r="662" ht="11.25" customHeight="1">
      <c r="O662" s="1"/>
      <c r="P662" s="1"/>
      <c r="Q662" s="3"/>
      <c r="S662" s="1"/>
      <c r="T662" s="3"/>
    </row>
    <row r="663" ht="11.25" customHeight="1">
      <c r="O663" s="1"/>
      <c r="P663" s="1"/>
      <c r="Q663" s="3"/>
      <c r="S663" s="1"/>
      <c r="T663" s="3"/>
    </row>
    <row r="664" ht="11.25" customHeight="1">
      <c r="O664" s="1"/>
      <c r="P664" s="1"/>
      <c r="Q664" s="3"/>
      <c r="S664" s="1"/>
      <c r="T664" s="3"/>
    </row>
    <row r="665" ht="11.25" customHeight="1">
      <c r="O665" s="1"/>
      <c r="P665" s="1"/>
      <c r="Q665" s="3"/>
      <c r="S665" s="1"/>
      <c r="T665" s="3"/>
    </row>
    <row r="666" ht="11.25" customHeight="1">
      <c r="O666" s="1"/>
      <c r="P666" s="1"/>
      <c r="Q666" s="3"/>
      <c r="S666" s="1"/>
      <c r="T666" s="3"/>
    </row>
    <row r="667" ht="11.25" customHeight="1">
      <c r="O667" s="1"/>
      <c r="P667" s="1"/>
      <c r="Q667" s="3"/>
      <c r="S667" s="1"/>
      <c r="T667" s="3"/>
    </row>
    <row r="668" ht="11.25" customHeight="1">
      <c r="O668" s="1"/>
      <c r="P668" s="1"/>
      <c r="Q668" s="3"/>
      <c r="S668" s="1"/>
      <c r="T668" s="3"/>
    </row>
    <row r="669" ht="11.25" customHeight="1">
      <c r="O669" s="1"/>
      <c r="P669" s="1"/>
      <c r="Q669" s="3"/>
      <c r="S669" s="1"/>
      <c r="T669" s="3"/>
    </row>
    <row r="670" ht="11.25" customHeight="1">
      <c r="O670" s="1"/>
      <c r="P670" s="1"/>
      <c r="Q670" s="3"/>
      <c r="S670" s="1"/>
      <c r="T670" s="3"/>
    </row>
    <row r="671" ht="11.25" customHeight="1">
      <c r="O671" s="1"/>
      <c r="P671" s="1"/>
      <c r="Q671" s="3"/>
      <c r="S671" s="1"/>
      <c r="T671" s="3"/>
    </row>
    <row r="672" ht="11.25" customHeight="1">
      <c r="O672" s="1"/>
      <c r="P672" s="1"/>
      <c r="Q672" s="3"/>
      <c r="S672" s="1"/>
      <c r="T672" s="3"/>
    </row>
    <row r="673" ht="11.25" customHeight="1">
      <c r="O673" s="1"/>
      <c r="P673" s="1"/>
      <c r="Q673" s="3"/>
      <c r="S673" s="1"/>
      <c r="T673" s="3"/>
    </row>
    <row r="674" ht="11.25" customHeight="1">
      <c r="O674" s="1"/>
      <c r="P674" s="1"/>
      <c r="Q674" s="3"/>
      <c r="S674" s="1"/>
      <c r="T674" s="3"/>
    </row>
    <row r="675" ht="11.25" customHeight="1">
      <c r="O675" s="1"/>
      <c r="P675" s="1"/>
      <c r="Q675" s="3"/>
      <c r="S675" s="1"/>
      <c r="T675" s="3"/>
    </row>
    <row r="676" ht="11.25" customHeight="1">
      <c r="O676" s="1"/>
      <c r="P676" s="1"/>
      <c r="Q676" s="3"/>
      <c r="S676" s="1"/>
      <c r="T676" s="3"/>
    </row>
    <row r="677" ht="11.25" customHeight="1">
      <c r="O677" s="1"/>
      <c r="P677" s="1"/>
      <c r="Q677" s="3"/>
      <c r="S677" s="1"/>
      <c r="T677" s="3"/>
    </row>
    <row r="678" ht="11.25" customHeight="1">
      <c r="O678" s="1"/>
      <c r="P678" s="1"/>
      <c r="Q678" s="3"/>
      <c r="S678" s="1"/>
      <c r="T678" s="3"/>
    </row>
    <row r="679" ht="11.25" customHeight="1">
      <c r="O679" s="1"/>
      <c r="P679" s="1"/>
      <c r="Q679" s="3"/>
      <c r="S679" s="1"/>
      <c r="T679" s="3"/>
    </row>
    <row r="680" ht="11.25" customHeight="1">
      <c r="O680" s="1"/>
      <c r="P680" s="1"/>
      <c r="Q680" s="3"/>
      <c r="S680" s="1"/>
      <c r="T680" s="3"/>
    </row>
    <row r="681" ht="11.25" customHeight="1">
      <c r="O681" s="1"/>
      <c r="P681" s="1"/>
      <c r="Q681" s="3"/>
      <c r="S681" s="1"/>
      <c r="T681" s="3"/>
    </row>
    <row r="682" ht="11.25" customHeight="1">
      <c r="O682" s="1"/>
      <c r="P682" s="1"/>
      <c r="Q682" s="3"/>
      <c r="S682" s="1"/>
      <c r="T682" s="3"/>
    </row>
    <row r="683" ht="11.25" customHeight="1">
      <c r="O683" s="1"/>
      <c r="P683" s="1"/>
      <c r="Q683" s="3"/>
      <c r="S683" s="1"/>
      <c r="T683" s="3"/>
    </row>
    <row r="684" ht="11.25" customHeight="1">
      <c r="O684" s="1"/>
      <c r="P684" s="1"/>
      <c r="Q684" s="3"/>
      <c r="S684" s="1"/>
      <c r="T684" s="3"/>
    </row>
    <row r="685" ht="11.25" customHeight="1">
      <c r="O685" s="1"/>
      <c r="P685" s="1"/>
      <c r="Q685" s="3"/>
      <c r="S685" s="1"/>
      <c r="T685" s="3"/>
    </row>
    <row r="686" ht="11.25" customHeight="1">
      <c r="O686" s="1"/>
      <c r="P686" s="1"/>
      <c r="Q686" s="3"/>
      <c r="S686" s="1"/>
      <c r="T686" s="3"/>
    </row>
    <row r="687" ht="11.25" customHeight="1">
      <c r="O687" s="1"/>
      <c r="P687" s="1"/>
      <c r="Q687" s="3"/>
      <c r="S687" s="1"/>
      <c r="T687" s="3"/>
    </row>
    <row r="688" ht="11.25" customHeight="1">
      <c r="O688" s="1"/>
      <c r="P688" s="1"/>
      <c r="Q688" s="3"/>
      <c r="S688" s="1"/>
      <c r="T688" s="3"/>
    </row>
    <row r="689" ht="11.25" customHeight="1">
      <c r="O689" s="1"/>
      <c r="P689" s="1"/>
      <c r="Q689" s="3"/>
      <c r="S689" s="1"/>
      <c r="T689" s="3"/>
    </row>
    <row r="690" ht="11.25" customHeight="1">
      <c r="O690" s="1"/>
      <c r="P690" s="1"/>
      <c r="Q690" s="3"/>
      <c r="S690" s="1"/>
      <c r="T690" s="3"/>
    </row>
    <row r="691" ht="11.25" customHeight="1">
      <c r="O691" s="1"/>
      <c r="P691" s="1"/>
      <c r="Q691" s="3"/>
      <c r="S691" s="1"/>
      <c r="T691" s="3"/>
    </row>
    <row r="692" ht="11.25" customHeight="1">
      <c r="O692" s="1"/>
      <c r="P692" s="1"/>
      <c r="Q692" s="3"/>
      <c r="S692" s="1"/>
      <c r="T692" s="3"/>
    </row>
    <row r="693" ht="11.25" customHeight="1">
      <c r="O693" s="1"/>
      <c r="P693" s="1"/>
      <c r="Q693" s="3"/>
      <c r="S693" s="1"/>
      <c r="T693" s="3"/>
    </row>
    <row r="694" ht="11.25" customHeight="1">
      <c r="O694" s="1"/>
      <c r="P694" s="1"/>
      <c r="Q694" s="3"/>
      <c r="S694" s="1"/>
      <c r="T694" s="3"/>
    </row>
    <row r="695" ht="11.25" customHeight="1">
      <c r="O695" s="1"/>
      <c r="P695" s="1"/>
      <c r="Q695" s="3"/>
      <c r="S695" s="1"/>
      <c r="T695" s="3"/>
    </row>
    <row r="696" ht="11.25" customHeight="1">
      <c r="O696" s="1"/>
      <c r="P696" s="1"/>
      <c r="Q696" s="3"/>
      <c r="S696" s="1"/>
      <c r="T696" s="3"/>
    </row>
    <row r="697" ht="11.25" customHeight="1">
      <c r="O697" s="1"/>
      <c r="P697" s="1"/>
      <c r="Q697" s="3"/>
      <c r="S697" s="1"/>
      <c r="T697" s="3"/>
    </row>
    <row r="698" ht="11.25" customHeight="1">
      <c r="O698" s="1"/>
      <c r="P698" s="1"/>
      <c r="Q698" s="3"/>
      <c r="S698" s="1"/>
      <c r="T698" s="3"/>
    </row>
    <row r="699" ht="11.25" customHeight="1">
      <c r="O699" s="1"/>
      <c r="P699" s="1"/>
      <c r="Q699" s="3"/>
      <c r="S699" s="1"/>
      <c r="T699" s="3"/>
    </row>
    <row r="700" ht="11.25" customHeight="1">
      <c r="O700" s="1"/>
      <c r="P700" s="1"/>
      <c r="Q700" s="3"/>
      <c r="S700" s="1"/>
      <c r="T700" s="3"/>
    </row>
    <row r="701" ht="11.25" customHeight="1">
      <c r="O701" s="1"/>
      <c r="P701" s="1"/>
      <c r="Q701" s="3"/>
      <c r="S701" s="1"/>
      <c r="T701" s="3"/>
    </row>
    <row r="702" ht="11.25" customHeight="1">
      <c r="O702" s="1"/>
      <c r="P702" s="1"/>
      <c r="Q702" s="3"/>
      <c r="S702" s="1"/>
      <c r="T702" s="3"/>
    </row>
    <row r="703" ht="11.25" customHeight="1">
      <c r="O703" s="1"/>
      <c r="P703" s="1"/>
      <c r="Q703" s="3"/>
      <c r="S703" s="1"/>
      <c r="T703" s="3"/>
    </row>
    <row r="704" ht="11.25" customHeight="1">
      <c r="O704" s="1"/>
      <c r="P704" s="1"/>
      <c r="Q704" s="3"/>
      <c r="S704" s="1"/>
      <c r="T704" s="3"/>
    </row>
    <row r="705" ht="11.25" customHeight="1">
      <c r="O705" s="1"/>
      <c r="P705" s="1"/>
      <c r="Q705" s="3"/>
      <c r="S705" s="1"/>
      <c r="T705" s="3"/>
    </row>
    <row r="706" ht="11.25" customHeight="1">
      <c r="O706" s="1"/>
      <c r="P706" s="1"/>
      <c r="Q706" s="3"/>
      <c r="S706" s="1"/>
      <c r="T706" s="3"/>
    </row>
    <row r="707" ht="11.25" customHeight="1">
      <c r="O707" s="1"/>
      <c r="P707" s="1"/>
      <c r="Q707" s="3"/>
      <c r="S707" s="1"/>
      <c r="T707" s="3"/>
    </row>
    <row r="708" ht="11.25" customHeight="1">
      <c r="O708" s="1"/>
      <c r="P708" s="1"/>
      <c r="Q708" s="3"/>
      <c r="S708" s="1"/>
      <c r="T708" s="3"/>
    </row>
    <row r="709" ht="11.25" customHeight="1">
      <c r="O709" s="1"/>
      <c r="P709" s="1"/>
      <c r="Q709" s="3"/>
      <c r="S709" s="1"/>
      <c r="T709" s="3"/>
    </row>
    <row r="710" ht="11.25" customHeight="1">
      <c r="O710" s="1"/>
      <c r="P710" s="1"/>
      <c r="Q710" s="3"/>
      <c r="S710" s="1"/>
      <c r="T710" s="3"/>
    </row>
    <row r="711" ht="11.25" customHeight="1">
      <c r="O711" s="1"/>
      <c r="P711" s="1"/>
      <c r="Q711" s="3"/>
      <c r="S711" s="1"/>
      <c r="T711" s="3"/>
    </row>
    <row r="712" ht="11.25" customHeight="1">
      <c r="O712" s="1"/>
      <c r="P712" s="1"/>
      <c r="Q712" s="3"/>
      <c r="S712" s="1"/>
      <c r="T712" s="3"/>
    </row>
    <row r="713" ht="11.25" customHeight="1">
      <c r="O713" s="1"/>
      <c r="P713" s="1"/>
      <c r="Q713" s="3"/>
      <c r="S713" s="1"/>
      <c r="T713" s="3"/>
    </row>
    <row r="714" ht="11.25" customHeight="1">
      <c r="O714" s="1"/>
      <c r="P714" s="1"/>
      <c r="Q714" s="3"/>
      <c r="S714" s="1"/>
      <c r="T714" s="3"/>
    </row>
    <row r="715" ht="11.25" customHeight="1">
      <c r="O715" s="1"/>
      <c r="P715" s="1"/>
      <c r="Q715" s="3"/>
      <c r="S715" s="1"/>
      <c r="T715" s="3"/>
    </row>
    <row r="716" ht="11.25" customHeight="1">
      <c r="O716" s="1"/>
      <c r="P716" s="1"/>
      <c r="Q716" s="3"/>
      <c r="S716" s="1"/>
      <c r="T716" s="3"/>
    </row>
    <row r="717" ht="11.25" customHeight="1">
      <c r="O717" s="1"/>
      <c r="P717" s="1"/>
      <c r="Q717" s="3"/>
      <c r="S717" s="1"/>
      <c r="T717" s="3"/>
    </row>
    <row r="718" ht="11.25" customHeight="1">
      <c r="O718" s="1"/>
      <c r="P718" s="1"/>
      <c r="Q718" s="3"/>
      <c r="S718" s="1"/>
      <c r="T718" s="3"/>
    </row>
    <row r="719" ht="11.25" customHeight="1">
      <c r="O719" s="1"/>
      <c r="P719" s="1"/>
      <c r="Q719" s="3"/>
      <c r="S719" s="1"/>
      <c r="T719" s="3"/>
    </row>
    <row r="720" ht="11.25" customHeight="1">
      <c r="O720" s="1"/>
      <c r="P720" s="1"/>
      <c r="Q720" s="3"/>
      <c r="S720" s="1"/>
      <c r="T720" s="3"/>
    </row>
    <row r="721" ht="11.25" customHeight="1">
      <c r="O721" s="1"/>
      <c r="P721" s="1"/>
      <c r="Q721" s="3"/>
      <c r="S721" s="1"/>
      <c r="T721" s="3"/>
    </row>
    <row r="722" ht="11.25" customHeight="1">
      <c r="O722" s="1"/>
      <c r="P722" s="1"/>
      <c r="Q722" s="3"/>
      <c r="S722" s="1"/>
      <c r="T722" s="3"/>
    </row>
    <row r="723" ht="11.25" customHeight="1">
      <c r="O723" s="1"/>
      <c r="P723" s="1"/>
      <c r="Q723" s="3"/>
      <c r="S723" s="1"/>
      <c r="T723" s="3"/>
    </row>
    <row r="724" ht="11.25" customHeight="1">
      <c r="O724" s="1"/>
      <c r="P724" s="1"/>
      <c r="Q724" s="3"/>
      <c r="S724" s="1"/>
      <c r="T724" s="3"/>
    </row>
    <row r="725" ht="11.25" customHeight="1">
      <c r="O725" s="1"/>
      <c r="P725" s="1"/>
      <c r="Q725" s="3"/>
      <c r="S725" s="1"/>
      <c r="T725" s="3"/>
    </row>
    <row r="726" ht="11.25" customHeight="1">
      <c r="O726" s="1"/>
      <c r="P726" s="1"/>
      <c r="Q726" s="3"/>
      <c r="S726" s="1"/>
      <c r="T726" s="3"/>
    </row>
    <row r="727" ht="11.25" customHeight="1">
      <c r="O727" s="1"/>
      <c r="P727" s="1"/>
      <c r="Q727" s="3"/>
      <c r="S727" s="1"/>
      <c r="T727" s="3"/>
    </row>
    <row r="728" ht="11.25" customHeight="1">
      <c r="O728" s="1"/>
      <c r="P728" s="1"/>
      <c r="Q728" s="3"/>
      <c r="S728" s="1"/>
      <c r="T728" s="3"/>
    </row>
    <row r="729" ht="11.25" customHeight="1">
      <c r="O729" s="1"/>
      <c r="P729" s="1"/>
      <c r="Q729" s="3"/>
      <c r="S729" s="1"/>
      <c r="T729" s="3"/>
    </row>
    <row r="730" ht="11.25" customHeight="1">
      <c r="O730" s="1"/>
      <c r="P730" s="1"/>
      <c r="Q730" s="3"/>
      <c r="S730" s="1"/>
      <c r="T730" s="3"/>
    </row>
    <row r="731" ht="11.25" customHeight="1">
      <c r="O731" s="1"/>
      <c r="P731" s="1"/>
      <c r="Q731" s="3"/>
      <c r="S731" s="1"/>
      <c r="T731" s="3"/>
    </row>
    <row r="732" ht="11.25" customHeight="1">
      <c r="O732" s="1"/>
      <c r="P732" s="1"/>
      <c r="Q732" s="3"/>
      <c r="S732" s="1"/>
      <c r="T732" s="3"/>
    </row>
    <row r="733" ht="11.25" customHeight="1">
      <c r="O733" s="1"/>
      <c r="P733" s="1"/>
      <c r="Q733" s="3"/>
      <c r="S733" s="1"/>
      <c r="T733" s="3"/>
    </row>
    <row r="734" ht="11.25" customHeight="1">
      <c r="O734" s="1"/>
      <c r="P734" s="1"/>
      <c r="Q734" s="3"/>
      <c r="S734" s="1"/>
      <c r="T734" s="3"/>
    </row>
    <row r="735" ht="11.25" customHeight="1">
      <c r="O735" s="1"/>
      <c r="P735" s="1"/>
      <c r="Q735" s="3"/>
      <c r="S735" s="1"/>
      <c r="T735" s="3"/>
    </row>
    <row r="736" ht="11.25" customHeight="1">
      <c r="O736" s="1"/>
      <c r="P736" s="1"/>
      <c r="Q736" s="3"/>
      <c r="S736" s="1"/>
      <c r="T736" s="3"/>
    </row>
    <row r="737" ht="11.25" customHeight="1">
      <c r="O737" s="1"/>
      <c r="P737" s="1"/>
      <c r="Q737" s="3"/>
      <c r="S737" s="1"/>
      <c r="T737" s="3"/>
    </row>
    <row r="738" ht="11.25" customHeight="1">
      <c r="O738" s="1"/>
      <c r="P738" s="1"/>
      <c r="Q738" s="3"/>
      <c r="S738" s="1"/>
      <c r="T738" s="3"/>
    </row>
    <row r="739" ht="11.25" customHeight="1">
      <c r="O739" s="1"/>
      <c r="P739" s="1"/>
      <c r="Q739" s="3"/>
      <c r="S739" s="1"/>
      <c r="T739" s="3"/>
    </row>
    <row r="740" ht="11.25" customHeight="1">
      <c r="O740" s="1"/>
      <c r="P740" s="1"/>
      <c r="Q740" s="3"/>
      <c r="S740" s="1"/>
      <c r="T740" s="3"/>
    </row>
    <row r="741" ht="11.25" customHeight="1">
      <c r="O741" s="1"/>
      <c r="P741" s="1"/>
      <c r="Q741" s="3"/>
      <c r="S741" s="1"/>
      <c r="T741" s="3"/>
    </row>
    <row r="742" ht="11.25" customHeight="1">
      <c r="O742" s="1"/>
      <c r="P742" s="1"/>
      <c r="Q742" s="3"/>
      <c r="S742" s="1"/>
      <c r="T742" s="3"/>
    </row>
    <row r="743" ht="11.25" customHeight="1">
      <c r="O743" s="1"/>
      <c r="P743" s="1"/>
      <c r="Q743" s="3"/>
      <c r="S743" s="1"/>
      <c r="T743" s="3"/>
    </row>
    <row r="744" ht="11.25" customHeight="1">
      <c r="O744" s="1"/>
      <c r="P744" s="1"/>
      <c r="Q744" s="3"/>
      <c r="S744" s="1"/>
      <c r="T744" s="3"/>
    </row>
    <row r="745" ht="11.25" customHeight="1">
      <c r="O745" s="1"/>
      <c r="P745" s="1"/>
      <c r="Q745" s="3"/>
      <c r="S745" s="1"/>
      <c r="T745" s="3"/>
    </row>
    <row r="746" ht="11.25" customHeight="1">
      <c r="O746" s="1"/>
      <c r="P746" s="1"/>
      <c r="Q746" s="3"/>
      <c r="S746" s="1"/>
      <c r="T746" s="3"/>
    </row>
    <row r="747" ht="11.25" customHeight="1">
      <c r="O747" s="1"/>
      <c r="P747" s="1"/>
      <c r="Q747" s="3"/>
      <c r="S747" s="1"/>
      <c r="T747" s="3"/>
    </row>
    <row r="748" ht="11.25" customHeight="1">
      <c r="O748" s="1"/>
      <c r="P748" s="1"/>
      <c r="Q748" s="3"/>
      <c r="S748" s="1"/>
      <c r="T748" s="3"/>
    </row>
    <row r="749" ht="11.25" customHeight="1">
      <c r="O749" s="1"/>
      <c r="P749" s="1"/>
      <c r="Q749" s="3"/>
      <c r="S749" s="1"/>
      <c r="T749" s="3"/>
    </row>
    <row r="750" ht="11.25" customHeight="1">
      <c r="O750" s="1"/>
      <c r="P750" s="1"/>
      <c r="Q750" s="3"/>
      <c r="S750" s="1"/>
      <c r="T750" s="3"/>
    </row>
    <row r="751" ht="11.25" customHeight="1">
      <c r="O751" s="1"/>
      <c r="P751" s="1"/>
      <c r="Q751" s="3"/>
      <c r="S751" s="1"/>
      <c r="T751" s="3"/>
    </row>
    <row r="752" ht="11.25" customHeight="1">
      <c r="O752" s="1"/>
      <c r="P752" s="1"/>
      <c r="Q752" s="3"/>
      <c r="S752" s="1"/>
      <c r="T752" s="3"/>
    </row>
    <row r="753" ht="11.25" customHeight="1">
      <c r="O753" s="1"/>
      <c r="P753" s="1"/>
      <c r="Q753" s="3"/>
      <c r="S753" s="1"/>
      <c r="T753" s="3"/>
    </row>
    <row r="754" ht="11.25" customHeight="1">
      <c r="O754" s="1"/>
      <c r="P754" s="1"/>
      <c r="Q754" s="3"/>
      <c r="S754" s="1"/>
      <c r="T754" s="3"/>
    </row>
    <row r="755" ht="11.25" customHeight="1">
      <c r="O755" s="1"/>
      <c r="P755" s="1"/>
      <c r="Q755" s="3"/>
      <c r="S755" s="1"/>
      <c r="T755" s="3"/>
    </row>
    <row r="756" ht="11.25" customHeight="1">
      <c r="O756" s="1"/>
      <c r="P756" s="1"/>
      <c r="Q756" s="3"/>
      <c r="S756" s="1"/>
      <c r="T756" s="3"/>
    </row>
    <row r="757" ht="11.25" customHeight="1">
      <c r="O757" s="1"/>
      <c r="P757" s="1"/>
      <c r="Q757" s="3"/>
      <c r="S757" s="1"/>
      <c r="T757" s="3"/>
    </row>
    <row r="758" ht="11.25" customHeight="1">
      <c r="O758" s="1"/>
      <c r="P758" s="1"/>
      <c r="Q758" s="3"/>
      <c r="S758" s="1"/>
      <c r="T758" s="3"/>
    </row>
    <row r="759" ht="11.25" customHeight="1">
      <c r="O759" s="1"/>
      <c r="P759" s="1"/>
      <c r="Q759" s="3"/>
      <c r="S759" s="1"/>
      <c r="T759" s="3"/>
    </row>
    <row r="760" ht="11.25" customHeight="1">
      <c r="O760" s="1"/>
      <c r="P760" s="1"/>
      <c r="Q760" s="3"/>
      <c r="S760" s="1"/>
      <c r="T760" s="3"/>
    </row>
    <row r="761" ht="11.25" customHeight="1">
      <c r="O761" s="1"/>
      <c r="P761" s="1"/>
      <c r="Q761" s="3"/>
      <c r="S761" s="1"/>
      <c r="T761" s="3"/>
    </row>
    <row r="762" ht="11.25" customHeight="1">
      <c r="O762" s="1"/>
      <c r="P762" s="1"/>
      <c r="Q762" s="3"/>
      <c r="S762" s="1"/>
      <c r="T762" s="3"/>
    </row>
    <row r="763" ht="11.25" customHeight="1">
      <c r="O763" s="1"/>
      <c r="P763" s="1"/>
      <c r="Q763" s="3"/>
      <c r="S763" s="1"/>
      <c r="T763" s="3"/>
    </row>
    <row r="764" ht="11.25" customHeight="1">
      <c r="O764" s="1"/>
      <c r="P764" s="1"/>
      <c r="Q764" s="3"/>
      <c r="S764" s="1"/>
      <c r="T764" s="3"/>
    </row>
    <row r="765" ht="11.25" customHeight="1">
      <c r="O765" s="1"/>
      <c r="P765" s="1"/>
      <c r="Q765" s="3"/>
      <c r="S765" s="1"/>
      <c r="T765" s="3"/>
    </row>
    <row r="766" ht="11.25" customHeight="1">
      <c r="O766" s="1"/>
      <c r="P766" s="1"/>
      <c r="Q766" s="3"/>
      <c r="S766" s="1"/>
      <c r="T766" s="3"/>
    </row>
    <row r="767" ht="11.25" customHeight="1">
      <c r="O767" s="1"/>
      <c r="P767" s="1"/>
      <c r="Q767" s="3"/>
      <c r="S767" s="1"/>
      <c r="T767" s="3"/>
    </row>
    <row r="768" ht="11.25" customHeight="1">
      <c r="O768" s="1"/>
      <c r="P768" s="1"/>
      <c r="Q768" s="3"/>
      <c r="S768" s="1"/>
      <c r="T768" s="3"/>
    </row>
    <row r="769" ht="11.25" customHeight="1">
      <c r="O769" s="1"/>
      <c r="P769" s="1"/>
      <c r="Q769" s="3"/>
      <c r="S769" s="1"/>
      <c r="T769" s="3"/>
    </row>
    <row r="770" ht="11.25" customHeight="1">
      <c r="O770" s="1"/>
      <c r="P770" s="1"/>
      <c r="Q770" s="3"/>
      <c r="S770" s="1"/>
      <c r="T770" s="3"/>
    </row>
    <row r="771" ht="11.25" customHeight="1">
      <c r="O771" s="1"/>
      <c r="P771" s="1"/>
      <c r="Q771" s="3"/>
      <c r="S771" s="1"/>
      <c r="T771" s="3"/>
    </row>
    <row r="772" ht="11.25" customHeight="1">
      <c r="O772" s="1"/>
      <c r="P772" s="1"/>
      <c r="Q772" s="3"/>
      <c r="S772" s="1"/>
      <c r="T772" s="3"/>
    </row>
    <row r="773" ht="11.25" customHeight="1">
      <c r="O773" s="1"/>
      <c r="P773" s="1"/>
      <c r="Q773" s="3"/>
      <c r="S773" s="1"/>
      <c r="T773" s="3"/>
    </row>
    <row r="774" ht="11.25" customHeight="1">
      <c r="O774" s="1"/>
      <c r="P774" s="1"/>
      <c r="Q774" s="3"/>
      <c r="S774" s="1"/>
      <c r="T774" s="3"/>
    </row>
    <row r="775" ht="11.25" customHeight="1">
      <c r="O775" s="1"/>
      <c r="P775" s="1"/>
      <c r="Q775" s="3"/>
      <c r="S775" s="1"/>
      <c r="T775" s="3"/>
    </row>
    <row r="776" ht="11.25" customHeight="1">
      <c r="O776" s="1"/>
      <c r="P776" s="1"/>
      <c r="Q776" s="3"/>
      <c r="S776" s="1"/>
      <c r="T776" s="3"/>
    </row>
    <row r="777" ht="11.25" customHeight="1">
      <c r="O777" s="1"/>
      <c r="P777" s="1"/>
      <c r="Q777" s="3"/>
      <c r="S777" s="1"/>
      <c r="T777" s="3"/>
    </row>
    <row r="778" ht="11.25" customHeight="1">
      <c r="O778" s="1"/>
      <c r="P778" s="1"/>
      <c r="Q778" s="3"/>
      <c r="S778" s="1"/>
      <c r="T778" s="3"/>
    </row>
    <row r="779" ht="11.25" customHeight="1">
      <c r="O779" s="1"/>
      <c r="P779" s="1"/>
      <c r="Q779" s="3"/>
      <c r="S779" s="1"/>
      <c r="T779" s="3"/>
    </row>
    <row r="780" ht="11.25" customHeight="1">
      <c r="O780" s="1"/>
      <c r="P780" s="1"/>
      <c r="Q780" s="3"/>
      <c r="S780" s="1"/>
      <c r="T780" s="3"/>
    </row>
    <row r="781" ht="11.25" customHeight="1">
      <c r="O781" s="1"/>
      <c r="P781" s="1"/>
      <c r="Q781" s="3"/>
      <c r="S781" s="1"/>
      <c r="T781" s="3"/>
    </row>
    <row r="782" ht="11.25" customHeight="1">
      <c r="O782" s="1"/>
      <c r="P782" s="1"/>
      <c r="Q782" s="3"/>
      <c r="S782" s="1"/>
      <c r="T782" s="3"/>
    </row>
    <row r="783" ht="11.25" customHeight="1">
      <c r="O783" s="1"/>
      <c r="P783" s="1"/>
      <c r="Q783" s="3"/>
      <c r="S783" s="1"/>
      <c r="T783" s="3"/>
    </row>
    <row r="784" ht="11.25" customHeight="1">
      <c r="O784" s="1"/>
      <c r="P784" s="1"/>
      <c r="Q784" s="3"/>
      <c r="S784" s="1"/>
      <c r="T784" s="3"/>
    </row>
    <row r="785" ht="11.25" customHeight="1">
      <c r="O785" s="1"/>
      <c r="P785" s="1"/>
      <c r="Q785" s="3"/>
      <c r="S785" s="1"/>
      <c r="T785" s="3"/>
    </row>
    <row r="786" ht="11.25" customHeight="1">
      <c r="O786" s="1"/>
      <c r="P786" s="1"/>
      <c r="Q786" s="3"/>
      <c r="S786" s="1"/>
      <c r="T786" s="3"/>
    </row>
    <row r="787" ht="11.25" customHeight="1">
      <c r="O787" s="1"/>
      <c r="P787" s="1"/>
      <c r="Q787" s="3"/>
      <c r="S787" s="1"/>
      <c r="T787" s="3"/>
    </row>
    <row r="788" ht="11.25" customHeight="1">
      <c r="O788" s="1"/>
      <c r="P788" s="1"/>
      <c r="Q788" s="3"/>
      <c r="S788" s="1"/>
      <c r="T788" s="3"/>
    </row>
    <row r="789" ht="11.25" customHeight="1">
      <c r="O789" s="1"/>
      <c r="P789" s="1"/>
      <c r="Q789" s="3"/>
      <c r="S789" s="1"/>
      <c r="T789" s="3"/>
    </row>
    <row r="790" ht="11.25" customHeight="1">
      <c r="O790" s="1"/>
      <c r="P790" s="1"/>
      <c r="Q790" s="3"/>
      <c r="S790" s="1"/>
      <c r="T790" s="3"/>
    </row>
    <row r="791" ht="11.25" customHeight="1">
      <c r="O791" s="1"/>
      <c r="P791" s="1"/>
      <c r="Q791" s="3"/>
      <c r="S791" s="1"/>
      <c r="T791" s="3"/>
    </row>
    <row r="792" ht="11.25" customHeight="1">
      <c r="O792" s="1"/>
      <c r="P792" s="1"/>
      <c r="Q792" s="3"/>
      <c r="S792" s="1"/>
      <c r="T792" s="3"/>
    </row>
    <row r="793" ht="11.25" customHeight="1">
      <c r="O793" s="1"/>
      <c r="P793" s="1"/>
      <c r="Q793" s="3"/>
      <c r="S793" s="1"/>
      <c r="T793" s="3"/>
    </row>
    <row r="794" ht="11.25" customHeight="1">
      <c r="O794" s="1"/>
      <c r="P794" s="1"/>
      <c r="Q794" s="3"/>
      <c r="S794" s="1"/>
      <c r="T794" s="3"/>
    </row>
    <row r="795" ht="11.25" customHeight="1">
      <c r="O795" s="1"/>
      <c r="P795" s="1"/>
      <c r="Q795" s="3"/>
      <c r="S795" s="1"/>
      <c r="T795" s="3"/>
    </row>
    <row r="796" ht="11.25" customHeight="1">
      <c r="O796" s="1"/>
      <c r="P796" s="1"/>
      <c r="Q796" s="3"/>
      <c r="S796" s="1"/>
      <c r="T796" s="3"/>
    </row>
    <row r="797" ht="11.25" customHeight="1">
      <c r="O797" s="1"/>
      <c r="P797" s="1"/>
      <c r="Q797" s="3"/>
      <c r="S797" s="1"/>
      <c r="T797" s="3"/>
    </row>
    <row r="798" ht="11.25" customHeight="1">
      <c r="O798" s="1"/>
      <c r="P798" s="1"/>
      <c r="Q798" s="3"/>
      <c r="S798" s="1"/>
      <c r="T798" s="3"/>
    </row>
    <row r="799" ht="11.25" customHeight="1">
      <c r="O799" s="1"/>
      <c r="P799" s="1"/>
      <c r="Q799" s="3"/>
      <c r="S799" s="1"/>
      <c r="T799" s="3"/>
    </row>
    <row r="800" ht="11.25" customHeight="1">
      <c r="O800" s="1"/>
      <c r="P800" s="1"/>
      <c r="Q800" s="3"/>
      <c r="S800" s="1"/>
      <c r="T800" s="3"/>
    </row>
    <row r="801" ht="11.25" customHeight="1">
      <c r="O801" s="1"/>
      <c r="P801" s="1"/>
      <c r="Q801" s="3"/>
      <c r="S801" s="1"/>
      <c r="T801" s="3"/>
    </row>
    <row r="802" ht="11.25" customHeight="1">
      <c r="O802" s="1"/>
      <c r="P802" s="1"/>
      <c r="Q802" s="3"/>
      <c r="S802" s="1"/>
      <c r="T802" s="3"/>
    </row>
    <row r="803" ht="11.25" customHeight="1">
      <c r="O803" s="1"/>
      <c r="P803" s="1"/>
      <c r="Q803" s="3"/>
      <c r="S803" s="1"/>
      <c r="T803" s="3"/>
    </row>
    <row r="804" ht="11.25" customHeight="1">
      <c r="O804" s="1"/>
      <c r="P804" s="1"/>
      <c r="Q804" s="3"/>
      <c r="S804" s="1"/>
      <c r="T804" s="3"/>
    </row>
    <row r="805" ht="11.25" customHeight="1">
      <c r="O805" s="1"/>
      <c r="P805" s="1"/>
      <c r="Q805" s="3"/>
      <c r="S805" s="1"/>
      <c r="T805" s="3"/>
    </row>
    <row r="806" ht="11.25" customHeight="1">
      <c r="O806" s="1"/>
      <c r="P806" s="1"/>
      <c r="Q806" s="3"/>
      <c r="S806" s="1"/>
      <c r="T806" s="3"/>
    </row>
    <row r="807" ht="11.25" customHeight="1">
      <c r="O807" s="1"/>
      <c r="P807" s="1"/>
      <c r="Q807" s="3"/>
      <c r="S807" s="1"/>
      <c r="T807" s="3"/>
    </row>
    <row r="808" ht="11.25" customHeight="1">
      <c r="O808" s="1"/>
      <c r="P808" s="1"/>
      <c r="Q808" s="3"/>
      <c r="S808" s="1"/>
      <c r="T808" s="3"/>
    </row>
    <row r="809" ht="11.25" customHeight="1">
      <c r="O809" s="1"/>
      <c r="P809" s="1"/>
      <c r="Q809" s="3"/>
      <c r="S809" s="1"/>
      <c r="T809" s="3"/>
    </row>
    <row r="810" ht="11.25" customHeight="1">
      <c r="O810" s="1"/>
      <c r="P810" s="1"/>
      <c r="Q810" s="3"/>
      <c r="S810" s="1"/>
      <c r="T810" s="3"/>
    </row>
    <row r="811" ht="11.25" customHeight="1">
      <c r="O811" s="1"/>
      <c r="P811" s="1"/>
      <c r="Q811" s="3"/>
      <c r="S811" s="1"/>
      <c r="T811" s="3"/>
    </row>
    <row r="812" ht="11.25" customHeight="1">
      <c r="O812" s="1"/>
      <c r="P812" s="1"/>
      <c r="Q812" s="3"/>
      <c r="S812" s="1"/>
      <c r="T812" s="3"/>
    </row>
    <row r="813" ht="11.25" customHeight="1">
      <c r="O813" s="1"/>
      <c r="P813" s="1"/>
      <c r="Q813" s="3"/>
      <c r="S813" s="1"/>
      <c r="T813" s="3"/>
    </row>
    <row r="814" ht="11.25" customHeight="1">
      <c r="O814" s="1"/>
      <c r="P814" s="1"/>
      <c r="Q814" s="3"/>
      <c r="S814" s="1"/>
      <c r="T814" s="3"/>
    </row>
    <row r="815" ht="11.25" customHeight="1">
      <c r="O815" s="1"/>
      <c r="P815" s="1"/>
      <c r="Q815" s="3"/>
      <c r="S815" s="1"/>
      <c r="T815" s="3"/>
    </row>
    <row r="816" ht="11.25" customHeight="1">
      <c r="O816" s="1"/>
      <c r="P816" s="1"/>
      <c r="Q816" s="3"/>
      <c r="S816" s="1"/>
      <c r="T816" s="3"/>
    </row>
    <row r="817" ht="11.25" customHeight="1">
      <c r="O817" s="1"/>
      <c r="P817" s="1"/>
      <c r="Q817" s="3"/>
      <c r="S817" s="1"/>
      <c r="T817" s="3"/>
    </row>
    <row r="818" ht="11.25" customHeight="1">
      <c r="O818" s="1"/>
      <c r="P818" s="1"/>
      <c r="Q818" s="3"/>
      <c r="S818" s="1"/>
      <c r="T818" s="3"/>
    </row>
    <row r="819" ht="11.25" customHeight="1">
      <c r="O819" s="1"/>
      <c r="P819" s="1"/>
      <c r="Q819" s="3"/>
      <c r="S819" s="1"/>
      <c r="T819" s="3"/>
    </row>
    <row r="820" ht="11.25" customHeight="1">
      <c r="O820" s="1"/>
      <c r="P820" s="1"/>
      <c r="Q820" s="3"/>
      <c r="S820" s="1"/>
      <c r="T820" s="3"/>
    </row>
    <row r="821" ht="11.25" customHeight="1">
      <c r="O821" s="1"/>
      <c r="P821" s="1"/>
      <c r="Q821" s="3"/>
      <c r="S821" s="1"/>
      <c r="T821" s="3"/>
    </row>
    <row r="822" ht="11.25" customHeight="1">
      <c r="O822" s="1"/>
      <c r="P822" s="1"/>
      <c r="Q822" s="3"/>
      <c r="S822" s="1"/>
      <c r="T822" s="3"/>
    </row>
    <row r="823" ht="11.25" customHeight="1">
      <c r="O823" s="1"/>
      <c r="P823" s="1"/>
      <c r="Q823" s="3"/>
      <c r="S823" s="1"/>
      <c r="T823" s="3"/>
    </row>
    <row r="824" ht="11.25" customHeight="1">
      <c r="O824" s="1"/>
      <c r="P824" s="1"/>
      <c r="Q824" s="3"/>
      <c r="S824" s="1"/>
      <c r="T824" s="3"/>
    </row>
    <row r="825" ht="11.25" customHeight="1">
      <c r="O825" s="1"/>
      <c r="P825" s="1"/>
      <c r="Q825" s="3"/>
      <c r="S825" s="1"/>
      <c r="T825" s="3"/>
    </row>
    <row r="826" ht="11.25" customHeight="1">
      <c r="O826" s="1"/>
      <c r="P826" s="1"/>
      <c r="Q826" s="3"/>
      <c r="S826" s="1"/>
      <c r="T826" s="3"/>
    </row>
    <row r="827" ht="11.25" customHeight="1">
      <c r="O827" s="1"/>
      <c r="P827" s="1"/>
      <c r="Q827" s="3"/>
      <c r="S827" s="1"/>
      <c r="T827" s="3"/>
    </row>
    <row r="828" ht="11.25" customHeight="1">
      <c r="O828" s="1"/>
      <c r="P828" s="1"/>
      <c r="Q828" s="3"/>
      <c r="S828" s="1"/>
      <c r="T828" s="3"/>
    </row>
    <row r="829" ht="11.25" customHeight="1">
      <c r="O829" s="1"/>
      <c r="P829" s="1"/>
      <c r="Q829" s="3"/>
      <c r="S829" s="1"/>
      <c r="T829" s="3"/>
    </row>
    <row r="830" ht="11.25" customHeight="1">
      <c r="O830" s="1"/>
      <c r="P830" s="1"/>
      <c r="Q830" s="3"/>
      <c r="S830" s="1"/>
      <c r="T830" s="3"/>
    </row>
    <row r="831" ht="11.25" customHeight="1">
      <c r="O831" s="1"/>
      <c r="P831" s="1"/>
      <c r="Q831" s="3"/>
      <c r="S831" s="1"/>
      <c r="T831" s="3"/>
    </row>
    <row r="832" ht="11.25" customHeight="1">
      <c r="O832" s="1"/>
      <c r="P832" s="1"/>
      <c r="Q832" s="3"/>
      <c r="S832" s="1"/>
      <c r="T832" s="3"/>
    </row>
    <row r="833" ht="11.25" customHeight="1">
      <c r="O833" s="1"/>
      <c r="P833" s="1"/>
      <c r="Q833" s="3"/>
      <c r="S833" s="1"/>
      <c r="T833" s="3"/>
    </row>
    <row r="834" ht="11.25" customHeight="1">
      <c r="O834" s="1"/>
      <c r="P834" s="1"/>
      <c r="Q834" s="3"/>
      <c r="S834" s="1"/>
      <c r="T834" s="3"/>
    </row>
    <row r="835" ht="11.25" customHeight="1">
      <c r="O835" s="1"/>
      <c r="P835" s="1"/>
      <c r="Q835" s="3"/>
      <c r="S835" s="1"/>
      <c r="T835" s="3"/>
    </row>
    <row r="836" ht="11.25" customHeight="1">
      <c r="O836" s="1"/>
      <c r="P836" s="1"/>
      <c r="Q836" s="3"/>
      <c r="S836" s="1"/>
      <c r="T836" s="3"/>
    </row>
    <row r="837" ht="11.25" customHeight="1">
      <c r="O837" s="1"/>
      <c r="P837" s="1"/>
      <c r="Q837" s="3"/>
      <c r="S837" s="1"/>
      <c r="T837" s="3"/>
    </row>
    <row r="838" ht="11.25" customHeight="1">
      <c r="O838" s="1"/>
      <c r="P838" s="1"/>
      <c r="Q838" s="3"/>
      <c r="S838" s="1"/>
      <c r="T838" s="3"/>
    </row>
    <row r="839" ht="11.25" customHeight="1">
      <c r="O839" s="1"/>
      <c r="P839" s="1"/>
      <c r="Q839" s="3"/>
      <c r="S839" s="1"/>
      <c r="T839" s="3"/>
    </row>
    <row r="840" ht="11.25" customHeight="1">
      <c r="O840" s="1"/>
      <c r="P840" s="1"/>
      <c r="Q840" s="3"/>
      <c r="S840" s="1"/>
      <c r="T840" s="3"/>
    </row>
    <row r="841" ht="11.25" customHeight="1">
      <c r="O841" s="1"/>
      <c r="P841" s="1"/>
      <c r="Q841" s="3"/>
      <c r="S841" s="1"/>
      <c r="T841" s="3"/>
    </row>
    <row r="842" ht="11.25" customHeight="1">
      <c r="O842" s="1"/>
      <c r="P842" s="1"/>
      <c r="Q842" s="3"/>
      <c r="S842" s="1"/>
      <c r="T842" s="3"/>
    </row>
    <row r="843" ht="11.25" customHeight="1">
      <c r="O843" s="1"/>
      <c r="P843" s="1"/>
      <c r="Q843" s="3"/>
      <c r="S843" s="1"/>
      <c r="T843" s="3"/>
    </row>
    <row r="844" ht="11.25" customHeight="1">
      <c r="O844" s="1"/>
      <c r="P844" s="1"/>
      <c r="Q844" s="3"/>
      <c r="S844" s="1"/>
      <c r="T844" s="3"/>
    </row>
    <row r="845" ht="11.25" customHeight="1">
      <c r="O845" s="1"/>
      <c r="P845" s="1"/>
      <c r="Q845" s="3"/>
      <c r="S845" s="1"/>
      <c r="T845" s="3"/>
    </row>
    <row r="846" ht="11.25" customHeight="1">
      <c r="O846" s="1"/>
      <c r="P846" s="1"/>
      <c r="Q846" s="3"/>
      <c r="S846" s="1"/>
      <c r="T846" s="3"/>
    </row>
    <row r="847" ht="11.25" customHeight="1">
      <c r="O847" s="1"/>
      <c r="P847" s="1"/>
      <c r="Q847" s="3"/>
      <c r="S847" s="1"/>
      <c r="T847" s="3"/>
    </row>
    <row r="848" ht="11.25" customHeight="1">
      <c r="O848" s="1"/>
      <c r="P848" s="1"/>
      <c r="Q848" s="3"/>
      <c r="S848" s="1"/>
      <c r="T848" s="3"/>
    </row>
    <row r="849" ht="11.25" customHeight="1">
      <c r="O849" s="1"/>
      <c r="P849" s="1"/>
      <c r="Q849" s="3"/>
      <c r="S849" s="1"/>
      <c r="T849" s="3"/>
    </row>
    <row r="850" ht="11.25" customHeight="1">
      <c r="O850" s="1"/>
      <c r="P850" s="1"/>
      <c r="Q850" s="3"/>
      <c r="S850" s="1"/>
      <c r="T850" s="3"/>
    </row>
    <row r="851" ht="11.25" customHeight="1">
      <c r="O851" s="1"/>
      <c r="P851" s="1"/>
      <c r="Q851" s="3"/>
      <c r="S851" s="1"/>
      <c r="T851" s="3"/>
    </row>
    <row r="852" ht="11.25" customHeight="1">
      <c r="O852" s="1"/>
      <c r="P852" s="1"/>
      <c r="Q852" s="3"/>
      <c r="S852" s="1"/>
      <c r="T852" s="3"/>
    </row>
    <row r="853" ht="11.25" customHeight="1">
      <c r="O853" s="1"/>
      <c r="P853" s="1"/>
      <c r="Q853" s="3"/>
      <c r="S853" s="1"/>
      <c r="T853" s="3"/>
    </row>
    <row r="854" ht="11.25" customHeight="1">
      <c r="O854" s="1"/>
      <c r="P854" s="1"/>
      <c r="Q854" s="3"/>
      <c r="S854" s="1"/>
      <c r="T854" s="3"/>
    </row>
    <row r="855" ht="11.25" customHeight="1">
      <c r="O855" s="1"/>
      <c r="P855" s="1"/>
      <c r="Q855" s="3"/>
      <c r="S855" s="1"/>
      <c r="T855" s="3"/>
    </row>
    <row r="856" ht="11.25" customHeight="1">
      <c r="O856" s="1"/>
      <c r="P856" s="1"/>
      <c r="Q856" s="3"/>
      <c r="S856" s="1"/>
      <c r="T856" s="3"/>
    </row>
    <row r="857" ht="11.25" customHeight="1">
      <c r="O857" s="1"/>
      <c r="P857" s="1"/>
      <c r="Q857" s="3"/>
      <c r="S857" s="1"/>
      <c r="T857" s="3"/>
    </row>
    <row r="858" ht="11.25" customHeight="1">
      <c r="O858" s="1"/>
      <c r="P858" s="1"/>
      <c r="Q858" s="3"/>
      <c r="S858" s="1"/>
      <c r="T858" s="3"/>
    </row>
    <row r="859" ht="11.25" customHeight="1">
      <c r="O859" s="1"/>
      <c r="P859" s="1"/>
      <c r="Q859" s="3"/>
      <c r="S859" s="1"/>
      <c r="T859" s="3"/>
    </row>
    <row r="860" ht="11.25" customHeight="1">
      <c r="O860" s="1"/>
      <c r="P860" s="1"/>
      <c r="Q860" s="3"/>
      <c r="S860" s="1"/>
      <c r="T860" s="3"/>
    </row>
    <row r="861" ht="11.25" customHeight="1">
      <c r="O861" s="1"/>
      <c r="P861" s="1"/>
      <c r="Q861" s="3"/>
      <c r="S861" s="1"/>
      <c r="T861" s="3"/>
    </row>
    <row r="862" ht="11.25" customHeight="1">
      <c r="O862" s="1"/>
      <c r="P862" s="1"/>
      <c r="Q862" s="3"/>
      <c r="S862" s="1"/>
      <c r="T862" s="3"/>
    </row>
    <row r="863" ht="11.25" customHeight="1">
      <c r="O863" s="1"/>
      <c r="P863" s="1"/>
      <c r="Q863" s="3"/>
      <c r="S863" s="1"/>
      <c r="T863" s="3"/>
    </row>
    <row r="864" ht="11.25" customHeight="1">
      <c r="O864" s="1"/>
      <c r="P864" s="1"/>
      <c r="Q864" s="3"/>
      <c r="S864" s="1"/>
      <c r="T864" s="3"/>
    </row>
    <row r="865" ht="11.25" customHeight="1">
      <c r="O865" s="1"/>
      <c r="P865" s="1"/>
      <c r="Q865" s="3"/>
      <c r="S865" s="1"/>
      <c r="T865" s="3"/>
    </row>
    <row r="866" ht="11.25" customHeight="1">
      <c r="O866" s="1"/>
      <c r="P866" s="1"/>
      <c r="Q866" s="3"/>
      <c r="S866" s="1"/>
      <c r="T866" s="3"/>
    </row>
    <row r="867" ht="11.25" customHeight="1">
      <c r="O867" s="1"/>
      <c r="P867" s="1"/>
      <c r="Q867" s="3"/>
      <c r="S867" s="1"/>
      <c r="T867" s="3"/>
    </row>
    <row r="868" ht="11.25" customHeight="1">
      <c r="O868" s="1"/>
      <c r="P868" s="1"/>
      <c r="Q868" s="3"/>
      <c r="S868" s="1"/>
      <c r="T868" s="3"/>
    </row>
    <row r="869" ht="11.25" customHeight="1">
      <c r="O869" s="1"/>
      <c r="P869" s="1"/>
      <c r="Q869" s="3"/>
      <c r="S869" s="1"/>
      <c r="T869" s="3"/>
    </row>
    <row r="870" ht="11.25" customHeight="1">
      <c r="O870" s="1"/>
      <c r="P870" s="1"/>
      <c r="Q870" s="3"/>
      <c r="S870" s="1"/>
      <c r="T870" s="3"/>
    </row>
    <row r="871" ht="11.25" customHeight="1">
      <c r="O871" s="1"/>
      <c r="P871" s="1"/>
      <c r="Q871" s="3"/>
      <c r="S871" s="1"/>
      <c r="T871" s="3"/>
    </row>
    <row r="872" ht="11.25" customHeight="1">
      <c r="O872" s="1"/>
      <c r="P872" s="1"/>
      <c r="Q872" s="3"/>
      <c r="S872" s="1"/>
      <c r="T872" s="3"/>
    </row>
    <row r="873" ht="11.25" customHeight="1">
      <c r="O873" s="1"/>
      <c r="P873" s="1"/>
      <c r="Q873" s="3"/>
      <c r="S873" s="1"/>
      <c r="T873" s="3"/>
    </row>
    <row r="874" ht="11.25" customHeight="1">
      <c r="O874" s="1"/>
      <c r="P874" s="1"/>
      <c r="Q874" s="3"/>
      <c r="S874" s="1"/>
      <c r="T874" s="3"/>
    </row>
    <row r="875" ht="11.25" customHeight="1">
      <c r="O875" s="1"/>
      <c r="P875" s="1"/>
      <c r="Q875" s="3"/>
      <c r="S875" s="1"/>
      <c r="T875" s="3"/>
    </row>
    <row r="876" ht="11.25" customHeight="1">
      <c r="O876" s="1"/>
      <c r="P876" s="1"/>
      <c r="Q876" s="3"/>
      <c r="S876" s="1"/>
      <c r="T876" s="3"/>
    </row>
    <row r="877" ht="11.25" customHeight="1">
      <c r="O877" s="1"/>
      <c r="P877" s="1"/>
      <c r="Q877" s="3"/>
      <c r="S877" s="1"/>
      <c r="T877" s="3"/>
    </row>
    <row r="878" ht="11.25" customHeight="1">
      <c r="O878" s="1"/>
      <c r="P878" s="1"/>
      <c r="Q878" s="3"/>
      <c r="S878" s="1"/>
      <c r="T878" s="3"/>
    </row>
    <row r="879" ht="11.25" customHeight="1">
      <c r="O879" s="1"/>
      <c r="P879" s="1"/>
      <c r="Q879" s="3"/>
      <c r="S879" s="1"/>
      <c r="T879" s="3"/>
    </row>
    <row r="880" ht="11.25" customHeight="1">
      <c r="O880" s="1"/>
      <c r="P880" s="1"/>
      <c r="Q880" s="3"/>
      <c r="S880" s="1"/>
      <c r="T880" s="3"/>
    </row>
    <row r="881" ht="11.25" customHeight="1">
      <c r="O881" s="1"/>
      <c r="P881" s="1"/>
      <c r="Q881" s="3"/>
      <c r="S881" s="1"/>
      <c r="T881" s="3"/>
    </row>
    <row r="882" ht="11.25" customHeight="1">
      <c r="O882" s="1"/>
      <c r="P882" s="1"/>
      <c r="Q882" s="3"/>
      <c r="S882" s="1"/>
      <c r="T882" s="3"/>
    </row>
    <row r="883" ht="11.25" customHeight="1">
      <c r="O883" s="1"/>
      <c r="P883" s="1"/>
      <c r="Q883" s="3"/>
      <c r="S883" s="1"/>
      <c r="T883" s="3"/>
    </row>
    <row r="884" ht="11.25" customHeight="1">
      <c r="O884" s="1"/>
      <c r="P884" s="1"/>
      <c r="Q884" s="3"/>
      <c r="S884" s="1"/>
      <c r="T884" s="3"/>
    </row>
    <row r="885" ht="11.25" customHeight="1">
      <c r="O885" s="1"/>
      <c r="P885" s="1"/>
      <c r="Q885" s="3"/>
      <c r="S885" s="1"/>
      <c r="T885" s="3"/>
    </row>
    <row r="886" ht="11.25" customHeight="1">
      <c r="O886" s="1"/>
      <c r="P886" s="1"/>
      <c r="Q886" s="3"/>
      <c r="S886" s="1"/>
      <c r="T886" s="3"/>
    </row>
    <row r="887" ht="11.25" customHeight="1">
      <c r="O887" s="1"/>
      <c r="P887" s="1"/>
      <c r="Q887" s="3"/>
      <c r="S887" s="1"/>
      <c r="T887" s="3"/>
    </row>
    <row r="888" ht="11.25" customHeight="1">
      <c r="O888" s="1"/>
      <c r="P888" s="1"/>
      <c r="Q888" s="3"/>
      <c r="S888" s="1"/>
      <c r="T888" s="3"/>
    </row>
    <row r="889" ht="11.25" customHeight="1">
      <c r="O889" s="1"/>
      <c r="P889" s="1"/>
      <c r="Q889" s="3"/>
      <c r="S889" s="1"/>
      <c r="T889" s="3"/>
    </row>
    <row r="890" ht="11.25" customHeight="1">
      <c r="O890" s="1"/>
      <c r="P890" s="1"/>
      <c r="Q890" s="3"/>
      <c r="S890" s="1"/>
      <c r="T890" s="3"/>
    </row>
    <row r="891" ht="11.25" customHeight="1">
      <c r="O891" s="1"/>
      <c r="P891" s="1"/>
      <c r="Q891" s="3"/>
      <c r="S891" s="1"/>
      <c r="T891" s="3"/>
    </row>
    <row r="892" ht="11.25" customHeight="1">
      <c r="O892" s="1"/>
      <c r="P892" s="1"/>
      <c r="Q892" s="3"/>
      <c r="S892" s="1"/>
      <c r="T892" s="3"/>
    </row>
    <row r="893" ht="11.25" customHeight="1">
      <c r="O893" s="1"/>
      <c r="P893" s="1"/>
      <c r="Q893" s="3"/>
      <c r="S893" s="1"/>
      <c r="T893" s="3"/>
    </row>
    <row r="894" ht="11.25" customHeight="1">
      <c r="O894" s="1"/>
      <c r="P894" s="1"/>
      <c r="Q894" s="3"/>
      <c r="S894" s="1"/>
      <c r="T894" s="3"/>
    </row>
    <row r="895" ht="11.25" customHeight="1">
      <c r="O895" s="1"/>
      <c r="P895" s="1"/>
      <c r="Q895" s="3"/>
      <c r="S895" s="1"/>
      <c r="T895" s="3"/>
    </row>
    <row r="896" ht="11.25" customHeight="1">
      <c r="O896" s="1"/>
      <c r="P896" s="1"/>
      <c r="Q896" s="3"/>
      <c r="S896" s="1"/>
      <c r="T896" s="3"/>
    </row>
    <row r="897" ht="11.25" customHeight="1">
      <c r="O897" s="1"/>
      <c r="P897" s="1"/>
      <c r="Q897" s="3"/>
      <c r="S897" s="1"/>
      <c r="T897" s="3"/>
    </row>
    <row r="898" ht="11.25" customHeight="1">
      <c r="O898" s="1"/>
      <c r="P898" s="1"/>
      <c r="Q898" s="3"/>
      <c r="S898" s="1"/>
      <c r="T898" s="3"/>
    </row>
    <row r="899" ht="11.25" customHeight="1">
      <c r="O899" s="1"/>
      <c r="P899" s="1"/>
      <c r="Q899" s="3"/>
      <c r="S899" s="1"/>
      <c r="T899" s="3"/>
    </row>
    <row r="900" ht="11.25" customHeight="1">
      <c r="O900" s="1"/>
      <c r="P900" s="1"/>
      <c r="Q900" s="3"/>
      <c r="S900" s="1"/>
      <c r="T900" s="3"/>
    </row>
    <row r="901" ht="11.25" customHeight="1">
      <c r="O901" s="1"/>
      <c r="P901" s="1"/>
      <c r="Q901" s="3"/>
      <c r="S901" s="1"/>
      <c r="T901" s="3"/>
    </row>
    <row r="902" ht="11.25" customHeight="1">
      <c r="O902" s="1"/>
      <c r="P902" s="1"/>
      <c r="Q902" s="3"/>
      <c r="S902" s="1"/>
      <c r="T902" s="3"/>
    </row>
    <row r="903" ht="11.25" customHeight="1">
      <c r="O903" s="1"/>
      <c r="P903" s="1"/>
      <c r="Q903" s="3"/>
      <c r="S903" s="1"/>
      <c r="T903" s="3"/>
    </row>
    <row r="904" ht="11.25" customHeight="1">
      <c r="O904" s="1"/>
      <c r="P904" s="1"/>
      <c r="Q904" s="3"/>
      <c r="S904" s="1"/>
      <c r="T904" s="3"/>
    </row>
    <row r="905" ht="11.25" customHeight="1">
      <c r="O905" s="1"/>
      <c r="P905" s="1"/>
      <c r="Q905" s="3"/>
      <c r="S905" s="1"/>
      <c r="T905" s="3"/>
    </row>
    <row r="906" ht="11.25" customHeight="1">
      <c r="O906" s="1"/>
      <c r="P906" s="1"/>
      <c r="Q906" s="3"/>
      <c r="S906" s="1"/>
      <c r="T906" s="3"/>
    </row>
    <row r="907" ht="11.25" customHeight="1">
      <c r="O907" s="1"/>
      <c r="P907" s="1"/>
      <c r="Q907" s="3"/>
      <c r="S907" s="1"/>
      <c r="T907" s="3"/>
    </row>
    <row r="908" ht="11.25" customHeight="1">
      <c r="O908" s="1"/>
      <c r="P908" s="1"/>
      <c r="Q908" s="3"/>
      <c r="S908" s="1"/>
      <c r="T908" s="3"/>
    </row>
    <row r="909" ht="11.25" customHeight="1">
      <c r="O909" s="1"/>
      <c r="P909" s="1"/>
      <c r="Q909" s="3"/>
      <c r="S909" s="1"/>
      <c r="T909" s="3"/>
    </row>
    <row r="910" ht="11.25" customHeight="1">
      <c r="O910" s="1"/>
      <c r="P910" s="1"/>
      <c r="Q910" s="3"/>
      <c r="S910" s="1"/>
      <c r="T910" s="3"/>
    </row>
    <row r="911" ht="11.25" customHeight="1">
      <c r="O911" s="1"/>
      <c r="P911" s="1"/>
      <c r="Q911" s="3"/>
      <c r="S911" s="1"/>
      <c r="T911" s="3"/>
    </row>
    <row r="912" ht="11.25" customHeight="1">
      <c r="O912" s="1"/>
      <c r="P912" s="1"/>
      <c r="Q912" s="3"/>
      <c r="S912" s="1"/>
      <c r="T912" s="3"/>
    </row>
    <row r="913" ht="11.25" customHeight="1">
      <c r="O913" s="1"/>
      <c r="P913" s="1"/>
      <c r="Q913" s="3"/>
      <c r="S913" s="1"/>
      <c r="T913" s="3"/>
    </row>
    <row r="914" ht="11.25" customHeight="1">
      <c r="O914" s="1"/>
      <c r="P914" s="1"/>
      <c r="Q914" s="3"/>
      <c r="S914" s="1"/>
      <c r="T914" s="3"/>
    </row>
    <row r="915" ht="11.25" customHeight="1">
      <c r="O915" s="1"/>
      <c r="P915" s="1"/>
      <c r="Q915" s="3"/>
      <c r="S915" s="1"/>
      <c r="T915" s="3"/>
    </row>
    <row r="916" ht="11.25" customHeight="1">
      <c r="O916" s="1"/>
      <c r="P916" s="1"/>
      <c r="Q916" s="3"/>
      <c r="S916" s="1"/>
      <c r="T916" s="3"/>
    </row>
    <row r="917" ht="11.25" customHeight="1">
      <c r="O917" s="1"/>
      <c r="P917" s="1"/>
      <c r="Q917" s="3"/>
      <c r="S917" s="1"/>
      <c r="T917" s="3"/>
    </row>
    <row r="918" ht="11.25" customHeight="1">
      <c r="O918" s="1"/>
      <c r="P918" s="1"/>
      <c r="Q918" s="3"/>
      <c r="S918" s="1"/>
      <c r="T918" s="3"/>
    </row>
    <row r="919" ht="11.25" customHeight="1">
      <c r="O919" s="1"/>
      <c r="P919" s="1"/>
      <c r="Q919" s="3"/>
      <c r="S919" s="1"/>
      <c r="T919" s="3"/>
    </row>
    <row r="920" ht="11.25" customHeight="1">
      <c r="O920" s="1"/>
      <c r="P920" s="1"/>
      <c r="Q920" s="3"/>
      <c r="S920" s="1"/>
      <c r="T920" s="3"/>
    </row>
    <row r="921" ht="11.25" customHeight="1">
      <c r="O921" s="1"/>
      <c r="P921" s="1"/>
      <c r="Q921" s="3"/>
      <c r="S921" s="1"/>
      <c r="T921" s="3"/>
    </row>
    <row r="922" ht="11.25" customHeight="1">
      <c r="O922" s="1"/>
      <c r="P922" s="1"/>
      <c r="Q922" s="3"/>
      <c r="S922" s="1"/>
      <c r="T922" s="3"/>
    </row>
    <row r="923" ht="11.25" customHeight="1">
      <c r="O923" s="1"/>
      <c r="P923" s="1"/>
      <c r="Q923" s="3"/>
      <c r="S923" s="1"/>
      <c r="T923" s="3"/>
    </row>
    <row r="924" ht="11.25" customHeight="1">
      <c r="O924" s="1"/>
      <c r="P924" s="1"/>
      <c r="Q924" s="3"/>
      <c r="S924" s="1"/>
      <c r="T924" s="3"/>
    </row>
    <row r="925" ht="11.25" customHeight="1">
      <c r="O925" s="1"/>
      <c r="P925" s="1"/>
      <c r="Q925" s="3"/>
      <c r="S925" s="1"/>
      <c r="T925" s="3"/>
    </row>
    <row r="926" ht="11.25" customHeight="1">
      <c r="O926" s="1"/>
      <c r="P926" s="1"/>
      <c r="Q926" s="3"/>
      <c r="S926" s="1"/>
      <c r="T926" s="3"/>
    </row>
    <row r="927" ht="11.25" customHeight="1">
      <c r="O927" s="1"/>
      <c r="P927" s="1"/>
      <c r="Q927" s="3"/>
      <c r="S927" s="1"/>
      <c r="T927" s="3"/>
    </row>
    <row r="928" ht="11.25" customHeight="1">
      <c r="O928" s="1"/>
      <c r="P928" s="1"/>
      <c r="Q928" s="3"/>
      <c r="S928" s="1"/>
      <c r="T928" s="3"/>
    </row>
    <row r="929" ht="11.25" customHeight="1">
      <c r="O929" s="1"/>
      <c r="P929" s="1"/>
      <c r="Q929" s="3"/>
      <c r="S929" s="1"/>
      <c r="T929" s="3"/>
    </row>
    <row r="930" ht="11.25" customHeight="1">
      <c r="O930" s="1"/>
      <c r="P930" s="1"/>
      <c r="Q930" s="3"/>
      <c r="S930" s="1"/>
      <c r="T930" s="3"/>
    </row>
    <row r="931" ht="11.25" customHeight="1">
      <c r="O931" s="1"/>
      <c r="P931" s="1"/>
      <c r="Q931" s="3"/>
      <c r="S931" s="1"/>
      <c r="T931" s="3"/>
    </row>
    <row r="932" ht="11.25" customHeight="1">
      <c r="O932" s="1"/>
      <c r="P932" s="1"/>
      <c r="Q932" s="3"/>
      <c r="S932" s="1"/>
      <c r="T932" s="3"/>
    </row>
    <row r="933" ht="11.25" customHeight="1">
      <c r="O933" s="1"/>
      <c r="P933" s="1"/>
      <c r="Q933" s="3"/>
      <c r="S933" s="1"/>
      <c r="T933" s="3"/>
    </row>
    <row r="934" ht="11.25" customHeight="1">
      <c r="O934" s="1"/>
      <c r="P934" s="1"/>
      <c r="Q934" s="3"/>
      <c r="S934" s="1"/>
      <c r="T934" s="3"/>
    </row>
    <row r="935" ht="11.25" customHeight="1">
      <c r="O935" s="1"/>
      <c r="P935" s="1"/>
      <c r="Q935" s="3"/>
      <c r="S935" s="1"/>
      <c r="T935" s="3"/>
    </row>
    <row r="936" ht="11.25" customHeight="1">
      <c r="O936" s="1"/>
      <c r="P936" s="1"/>
      <c r="Q936" s="3"/>
      <c r="S936" s="1"/>
      <c r="T936" s="3"/>
    </row>
    <row r="937" ht="11.25" customHeight="1">
      <c r="O937" s="1"/>
      <c r="P937" s="1"/>
      <c r="Q937" s="3"/>
      <c r="S937" s="1"/>
      <c r="T937" s="3"/>
    </row>
    <row r="938" ht="11.25" customHeight="1">
      <c r="O938" s="1"/>
      <c r="P938" s="1"/>
      <c r="Q938" s="3"/>
      <c r="S938" s="1"/>
      <c r="T938" s="3"/>
    </row>
    <row r="939" ht="11.25" customHeight="1">
      <c r="O939" s="1"/>
      <c r="P939" s="1"/>
      <c r="Q939" s="3"/>
      <c r="S939" s="1"/>
      <c r="T939" s="3"/>
    </row>
    <row r="940" ht="11.25" customHeight="1">
      <c r="O940" s="1"/>
      <c r="P940" s="1"/>
      <c r="Q940" s="3"/>
      <c r="S940" s="1"/>
      <c r="T940" s="3"/>
    </row>
    <row r="941" ht="11.25" customHeight="1">
      <c r="O941" s="1"/>
      <c r="P941" s="1"/>
      <c r="Q941" s="3"/>
      <c r="S941" s="1"/>
      <c r="T941" s="3"/>
    </row>
    <row r="942" ht="11.25" customHeight="1">
      <c r="O942" s="1"/>
      <c r="P942" s="1"/>
      <c r="Q942" s="3"/>
      <c r="S942" s="1"/>
      <c r="T942" s="3"/>
    </row>
    <row r="943" ht="11.25" customHeight="1">
      <c r="O943" s="1"/>
      <c r="P943" s="1"/>
      <c r="Q943" s="3"/>
      <c r="S943" s="1"/>
      <c r="T943" s="3"/>
    </row>
    <row r="944" ht="11.25" customHeight="1">
      <c r="O944" s="1"/>
      <c r="P944" s="1"/>
      <c r="Q944" s="3"/>
      <c r="S944" s="1"/>
      <c r="T944" s="3"/>
    </row>
    <row r="945" ht="11.25" customHeight="1">
      <c r="O945" s="1"/>
      <c r="P945" s="1"/>
      <c r="Q945" s="3"/>
      <c r="S945" s="1"/>
      <c r="T945" s="3"/>
    </row>
    <row r="946" ht="11.25" customHeight="1">
      <c r="O946" s="1"/>
      <c r="P946" s="1"/>
      <c r="Q946" s="3"/>
      <c r="S946" s="1"/>
      <c r="T946" s="3"/>
    </row>
    <row r="947" ht="11.25" customHeight="1">
      <c r="O947" s="1"/>
      <c r="P947" s="1"/>
      <c r="Q947" s="3"/>
      <c r="S947" s="1"/>
      <c r="T947" s="3"/>
    </row>
    <row r="948" ht="11.25" customHeight="1">
      <c r="O948" s="1"/>
      <c r="P948" s="1"/>
      <c r="Q948" s="3"/>
      <c r="S948" s="1"/>
      <c r="T948" s="3"/>
    </row>
    <row r="949" ht="11.25" customHeight="1">
      <c r="O949" s="1"/>
      <c r="P949" s="1"/>
      <c r="Q949" s="3"/>
      <c r="S949" s="1"/>
      <c r="T949" s="3"/>
    </row>
    <row r="950" ht="11.25" customHeight="1">
      <c r="O950" s="1"/>
      <c r="P950" s="1"/>
      <c r="Q950" s="3"/>
      <c r="S950" s="1"/>
      <c r="T950" s="3"/>
    </row>
    <row r="951" ht="11.25" customHeight="1">
      <c r="O951" s="1"/>
      <c r="P951" s="1"/>
      <c r="Q951" s="3"/>
      <c r="S951" s="1"/>
      <c r="T951" s="3"/>
    </row>
    <row r="952" ht="11.25" customHeight="1">
      <c r="O952" s="1"/>
      <c r="P952" s="1"/>
      <c r="Q952" s="3"/>
      <c r="S952" s="1"/>
      <c r="T952" s="3"/>
    </row>
    <row r="953" ht="11.25" customHeight="1">
      <c r="O953" s="1"/>
      <c r="P953" s="1"/>
      <c r="Q953" s="3"/>
      <c r="S953" s="1"/>
      <c r="T953" s="3"/>
    </row>
    <row r="954" ht="11.25" customHeight="1">
      <c r="O954" s="1"/>
      <c r="P954" s="1"/>
      <c r="Q954" s="3"/>
      <c r="S954" s="1"/>
      <c r="T954" s="3"/>
    </row>
    <row r="955" ht="11.25" customHeight="1">
      <c r="O955" s="1"/>
      <c r="P955" s="1"/>
      <c r="Q955" s="3"/>
      <c r="S955" s="1"/>
      <c r="T955" s="3"/>
    </row>
    <row r="956" ht="11.25" customHeight="1">
      <c r="O956" s="1"/>
      <c r="P956" s="1"/>
      <c r="Q956" s="3"/>
      <c r="S956" s="1"/>
      <c r="T956" s="3"/>
    </row>
    <row r="957" ht="11.25" customHeight="1">
      <c r="O957" s="1"/>
      <c r="P957" s="1"/>
      <c r="Q957" s="3"/>
      <c r="S957" s="1"/>
      <c r="T957" s="3"/>
    </row>
    <row r="958" ht="11.25" customHeight="1">
      <c r="O958" s="1"/>
      <c r="P958" s="1"/>
      <c r="Q958" s="3"/>
      <c r="S958" s="1"/>
      <c r="T958" s="3"/>
    </row>
    <row r="959" ht="11.25" customHeight="1">
      <c r="O959" s="1"/>
      <c r="P959" s="1"/>
      <c r="Q959" s="3"/>
      <c r="S959" s="1"/>
      <c r="T959" s="3"/>
    </row>
    <row r="960" ht="11.25" customHeight="1">
      <c r="O960" s="1"/>
      <c r="P960" s="1"/>
      <c r="Q960" s="3"/>
      <c r="S960" s="1"/>
      <c r="T960" s="3"/>
    </row>
    <row r="961" ht="11.25" customHeight="1">
      <c r="O961" s="1"/>
      <c r="P961" s="1"/>
      <c r="Q961" s="3"/>
      <c r="S961" s="1"/>
      <c r="T961" s="3"/>
    </row>
    <row r="962" ht="11.25" customHeight="1">
      <c r="O962" s="1"/>
      <c r="P962" s="1"/>
      <c r="Q962" s="3"/>
      <c r="S962" s="1"/>
      <c r="T962" s="3"/>
    </row>
    <row r="963" ht="11.25" customHeight="1">
      <c r="O963" s="1"/>
      <c r="P963" s="1"/>
      <c r="Q963" s="3"/>
      <c r="S963" s="1"/>
      <c r="T963" s="3"/>
    </row>
    <row r="964" ht="11.25" customHeight="1">
      <c r="O964" s="1"/>
      <c r="P964" s="1"/>
      <c r="Q964" s="3"/>
      <c r="S964" s="1"/>
      <c r="T964" s="3"/>
    </row>
    <row r="965" ht="11.25" customHeight="1">
      <c r="O965" s="1"/>
      <c r="P965" s="1"/>
      <c r="Q965" s="3"/>
      <c r="S965" s="1"/>
      <c r="T965" s="3"/>
    </row>
    <row r="966" ht="11.25" customHeight="1">
      <c r="O966" s="1"/>
      <c r="P966" s="1"/>
      <c r="Q966" s="3"/>
      <c r="S966" s="1"/>
      <c r="T966" s="3"/>
    </row>
    <row r="967" ht="11.25" customHeight="1">
      <c r="O967" s="1"/>
      <c r="P967" s="1"/>
      <c r="Q967" s="3"/>
      <c r="S967" s="1"/>
      <c r="T967" s="3"/>
    </row>
    <row r="968" ht="11.25" customHeight="1">
      <c r="O968" s="1"/>
      <c r="P968" s="1"/>
      <c r="Q968" s="3"/>
      <c r="S968" s="1"/>
      <c r="T968" s="3"/>
    </row>
    <row r="969" ht="11.25" customHeight="1">
      <c r="O969" s="1"/>
      <c r="P969" s="1"/>
      <c r="Q969" s="3"/>
      <c r="S969" s="1"/>
      <c r="T969" s="3"/>
    </row>
    <row r="970" ht="11.25" customHeight="1">
      <c r="O970" s="1"/>
      <c r="P970" s="1"/>
      <c r="Q970" s="3"/>
      <c r="S970" s="1"/>
      <c r="T970" s="3"/>
    </row>
    <row r="971" ht="11.25" customHeight="1">
      <c r="O971" s="1"/>
      <c r="P971" s="1"/>
      <c r="Q971" s="3"/>
      <c r="S971" s="1"/>
      <c r="T971" s="3"/>
    </row>
    <row r="972" ht="11.25" customHeight="1">
      <c r="O972" s="1"/>
      <c r="P972" s="1"/>
      <c r="Q972" s="3"/>
      <c r="S972" s="1"/>
      <c r="T972" s="3"/>
    </row>
    <row r="973" ht="11.25" customHeight="1">
      <c r="O973" s="1"/>
      <c r="P973" s="1"/>
      <c r="Q973" s="3"/>
      <c r="S973" s="1"/>
      <c r="T973" s="3"/>
    </row>
    <row r="974" ht="11.25" customHeight="1">
      <c r="O974" s="1"/>
      <c r="P974" s="1"/>
      <c r="Q974" s="3"/>
      <c r="S974" s="1"/>
      <c r="T974" s="3"/>
    </row>
    <row r="975" ht="11.25" customHeight="1">
      <c r="O975" s="1"/>
      <c r="P975" s="1"/>
      <c r="Q975" s="3"/>
      <c r="S975" s="1"/>
      <c r="T975" s="3"/>
    </row>
    <row r="976" ht="11.25" customHeight="1">
      <c r="O976" s="1"/>
      <c r="P976" s="1"/>
      <c r="Q976" s="3"/>
      <c r="S976" s="1"/>
      <c r="T976" s="3"/>
    </row>
    <row r="977" ht="11.25" customHeight="1">
      <c r="O977" s="1"/>
      <c r="P977" s="1"/>
      <c r="Q977" s="3"/>
      <c r="S977" s="1"/>
      <c r="T977" s="3"/>
    </row>
    <row r="978" ht="11.25" customHeight="1">
      <c r="O978" s="1"/>
      <c r="P978" s="1"/>
      <c r="Q978" s="3"/>
      <c r="S978" s="1"/>
      <c r="T978" s="3"/>
    </row>
    <row r="979" ht="11.25" customHeight="1">
      <c r="O979" s="1"/>
      <c r="P979" s="1"/>
      <c r="Q979" s="3"/>
      <c r="S979" s="1"/>
      <c r="T979" s="3"/>
    </row>
    <row r="980" ht="11.25" customHeight="1">
      <c r="O980" s="1"/>
      <c r="P980" s="1"/>
      <c r="Q980" s="3"/>
      <c r="S980" s="1"/>
      <c r="T980" s="3"/>
    </row>
    <row r="981" ht="11.25" customHeight="1">
      <c r="O981" s="1"/>
      <c r="P981" s="1"/>
      <c r="Q981" s="3"/>
      <c r="S981" s="1"/>
      <c r="T981" s="3"/>
    </row>
    <row r="982" ht="11.25" customHeight="1">
      <c r="O982" s="1"/>
      <c r="P982" s="1"/>
      <c r="Q982" s="3"/>
      <c r="S982" s="1"/>
      <c r="T982" s="3"/>
    </row>
    <row r="983" ht="11.25" customHeight="1">
      <c r="O983" s="1"/>
      <c r="P983" s="1"/>
      <c r="Q983" s="3"/>
      <c r="S983" s="1"/>
      <c r="T983" s="3"/>
    </row>
    <row r="984" ht="11.25" customHeight="1">
      <c r="O984" s="1"/>
      <c r="P984" s="1"/>
      <c r="Q984" s="3"/>
      <c r="S984" s="1"/>
      <c r="T984" s="3"/>
    </row>
    <row r="985" ht="11.25" customHeight="1">
      <c r="O985" s="1"/>
      <c r="P985" s="1"/>
      <c r="Q985" s="3"/>
      <c r="S985" s="1"/>
      <c r="T985" s="3"/>
    </row>
    <row r="986" ht="11.25" customHeight="1">
      <c r="O986" s="1"/>
      <c r="P986" s="1"/>
      <c r="Q986" s="3"/>
      <c r="S986" s="1"/>
      <c r="T986" s="3"/>
    </row>
  </sheetData>
  <conditionalFormatting sqref="Q15:Q64">
    <cfRule type="cellIs" dxfId="4" priority="1" operator="lessThan">
      <formula>0</formula>
    </cfRule>
  </conditionalFormatting>
  <conditionalFormatting sqref="Q15:Q64">
    <cfRule type="cellIs" dxfId="5" priority="2" operator="greaterThan">
      <formula>0</formula>
    </cfRule>
  </conditionalFormatting>
  <conditionalFormatting sqref="T15:T64">
    <cfRule type="cellIs" dxfId="4" priority="3" operator="lessThan">
      <formula>0</formula>
    </cfRule>
  </conditionalFormatting>
  <conditionalFormatting sqref="T15:T64">
    <cfRule type="cellIs" dxfId="5" priority="4" operator="greater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6.83" defaultRowHeight="15.0"/>
  <cols>
    <col customWidth="1" min="1" max="1" width="32.17"/>
    <col customWidth="1" min="7" max="7" width="40.17"/>
  </cols>
  <sheetData>
    <row r="1">
      <c r="A1" s="2">
        <v>0.0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hidden="1">
      <c r="A2" s="8" t="s">
        <v>7</v>
      </c>
      <c r="B2" s="12" t="s">
        <v>9</v>
      </c>
      <c r="C2" s="12" t="s">
        <v>10</v>
      </c>
      <c r="D2" s="12">
        <v>1.0</v>
      </c>
      <c r="E2" s="20">
        <f>'Макшанова'!H37</f>
        <v>0</v>
      </c>
      <c r="F2" s="20"/>
      <c r="G2" s="20"/>
    </row>
    <row r="3" hidden="1">
      <c r="A3" s="8" t="s">
        <v>26</v>
      </c>
      <c r="B3" s="12" t="s">
        <v>27</v>
      </c>
      <c r="C3" s="12" t="s">
        <v>10</v>
      </c>
      <c r="D3" s="12">
        <v>1.0</v>
      </c>
      <c r="E3" s="12">
        <v>1927665.0</v>
      </c>
      <c r="F3" s="12">
        <v>1927665.0</v>
      </c>
      <c r="G3" s="20"/>
      <c r="H3" s="24" t="s">
        <v>30</v>
      </c>
    </row>
    <row r="4" hidden="1">
      <c r="A4" s="8" t="s">
        <v>32</v>
      </c>
      <c r="B4" s="12" t="s">
        <v>9</v>
      </c>
      <c r="C4" s="12" t="s">
        <v>10</v>
      </c>
      <c r="D4" s="12">
        <v>1.0</v>
      </c>
      <c r="E4" s="20">
        <f>'Макшанова'!H39</f>
        <v>20000</v>
      </c>
      <c r="F4" s="12">
        <v>20000.0</v>
      </c>
      <c r="G4" s="20"/>
    </row>
    <row r="5" hidden="1">
      <c r="A5" s="8" t="s">
        <v>37</v>
      </c>
      <c r="B5" s="12" t="s">
        <v>9</v>
      </c>
      <c r="C5" s="12" t="s">
        <v>10</v>
      </c>
      <c r="D5" s="12">
        <v>1.0</v>
      </c>
      <c r="E5" s="12">
        <f>'Макшанова'!H43</f>
        <v>71800</v>
      </c>
      <c r="F5" s="12">
        <v>71800.0</v>
      </c>
      <c r="G5" s="20"/>
    </row>
    <row r="6" hidden="1">
      <c r="A6" s="8" t="s">
        <v>38</v>
      </c>
      <c r="B6" s="12" t="s">
        <v>9</v>
      </c>
      <c r="C6" s="12" t="s">
        <v>10</v>
      </c>
      <c r="D6" s="12">
        <v>1.0</v>
      </c>
      <c r="E6" s="20">
        <f>'Макшанова'!H57</f>
        <v>83400</v>
      </c>
      <c r="F6" s="12">
        <v>83400.0</v>
      </c>
      <c r="G6" s="20"/>
    </row>
    <row r="7" hidden="1">
      <c r="A7" s="8" t="s">
        <v>39</v>
      </c>
      <c r="B7" s="12" t="s">
        <v>9</v>
      </c>
      <c r="C7" s="12" t="s">
        <v>10</v>
      </c>
      <c r="D7" s="12">
        <v>1.0</v>
      </c>
      <c r="E7" s="20">
        <f>'Макшанова'!H79</f>
        <v>53100</v>
      </c>
      <c r="F7" s="12">
        <v>53100.0</v>
      </c>
      <c r="G7" s="20"/>
    </row>
    <row r="8" hidden="1">
      <c r="A8" s="8" t="s">
        <v>40</v>
      </c>
      <c r="B8" s="12" t="s">
        <v>9</v>
      </c>
      <c r="C8" s="12" t="s">
        <v>10</v>
      </c>
      <c r="D8" s="12">
        <v>1.0</v>
      </c>
      <c r="E8" s="12">
        <f>J8*0.35*(-1)</f>
        <v>-674682.75</v>
      </c>
      <c r="F8" s="12">
        <v>-554535.54</v>
      </c>
      <c r="G8" s="20"/>
      <c r="J8" s="23">
        <f>E3+E2</f>
        <v>1927665</v>
      </c>
    </row>
    <row r="9" hidden="1">
      <c r="A9" s="8" t="s">
        <v>41</v>
      </c>
      <c r="B9" s="12" t="s">
        <v>9</v>
      </c>
      <c r="C9" s="12" t="s">
        <v>10</v>
      </c>
      <c r="D9" s="12">
        <v>1.0</v>
      </c>
      <c r="E9" s="20">
        <f>E5*0.5*(-1)</f>
        <v>-35900</v>
      </c>
      <c r="F9" s="12">
        <v>-34865.0</v>
      </c>
      <c r="G9" s="20"/>
    </row>
    <row r="10" hidden="1">
      <c r="A10" s="8" t="s">
        <v>43</v>
      </c>
      <c r="B10" s="12" t="s">
        <v>9</v>
      </c>
      <c r="C10" s="12" t="s">
        <v>10</v>
      </c>
      <c r="D10" s="12">
        <v>1.0</v>
      </c>
      <c r="E10" s="12">
        <v>-250000.0</v>
      </c>
      <c r="F10" s="12">
        <v>-408840.0</v>
      </c>
      <c r="G10" s="20"/>
    </row>
    <row r="11" hidden="1">
      <c r="A11" s="8" t="s">
        <v>44</v>
      </c>
      <c r="B11" s="12" t="s">
        <v>27</v>
      </c>
      <c r="C11" s="12" t="s">
        <v>10</v>
      </c>
      <c r="D11" s="12">
        <v>1.0</v>
      </c>
      <c r="E11" s="12">
        <v>-50000.0</v>
      </c>
      <c r="F11" s="12">
        <v>-50000.0</v>
      </c>
      <c r="G11" s="20"/>
    </row>
    <row r="12" hidden="1">
      <c r="A12" s="8" t="s">
        <v>46</v>
      </c>
      <c r="B12" s="12" t="s">
        <v>27</v>
      </c>
      <c r="C12" s="12" t="s">
        <v>10</v>
      </c>
      <c r="D12" s="12">
        <v>1.0</v>
      </c>
      <c r="E12" s="12">
        <v>-119740.0</v>
      </c>
      <c r="F12" s="12">
        <v>-119740.0</v>
      </c>
      <c r="G12" s="20"/>
      <c r="H12" s="24" t="s">
        <v>49</v>
      </c>
    </row>
    <row r="13" hidden="1">
      <c r="A13" s="8" t="s">
        <v>48</v>
      </c>
      <c r="B13" s="12" t="s">
        <v>27</v>
      </c>
      <c r="C13" s="12" t="s">
        <v>10</v>
      </c>
      <c r="D13" s="12">
        <v>1.0</v>
      </c>
      <c r="E13" s="12">
        <v>-111020.0</v>
      </c>
      <c r="F13" s="12">
        <v>-111020.0</v>
      </c>
      <c r="G13" s="20"/>
      <c r="H13" s="24" t="s">
        <v>50</v>
      </c>
      <c r="J13" s="23">
        <f>0+J8</f>
        <v>1927665</v>
      </c>
    </row>
    <row r="14" hidden="1">
      <c r="A14" s="8" t="s">
        <v>51</v>
      </c>
      <c r="B14" s="12" t="s">
        <v>54</v>
      </c>
      <c r="C14" s="12" t="s">
        <v>10</v>
      </c>
      <c r="D14" s="12">
        <v>1.0</v>
      </c>
      <c r="E14" s="12">
        <v>-333333.33</v>
      </c>
      <c r="F14" s="12">
        <v>-100340.0</v>
      </c>
      <c r="G14" s="20"/>
    </row>
    <row r="15" hidden="1">
      <c r="A15" s="8" t="s">
        <v>52</v>
      </c>
      <c r="B15" s="12" t="s">
        <v>9</v>
      </c>
      <c r="C15" s="12" t="s">
        <v>10</v>
      </c>
      <c r="D15" s="12">
        <v>1.0</v>
      </c>
      <c r="E15" s="12">
        <v>-20000.0</v>
      </c>
      <c r="F15" s="12">
        <v>0.0</v>
      </c>
      <c r="G15" s="20"/>
    </row>
    <row r="16" hidden="1">
      <c r="A16" s="8" t="s">
        <v>56</v>
      </c>
      <c r="B16" s="12" t="s">
        <v>58</v>
      </c>
      <c r="C16" s="12" t="s">
        <v>10</v>
      </c>
      <c r="D16" s="12">
        <v>1.0</v>
      </c>
      <c r="E16" s="12">
        <v>-130000.0</v>
      </c>
      <c r="F16" s="12">
        <v>-130000.0</v>
      </c>
      <c r="G16" s="20"/>
    </row>
    <row r="17" hidden="1">
      <c r="A17" s="8" t="s">
        <v>57</v>
      </c>
      <c r="B17" s="12" t="s">
        <v>9</v>
      </c>
      <c r="C17" s="12" t="s">
        <v>10</v>
      </c>
      <c r="D17" s="12">
        <v>1.0</v>
      </c>
      <c r="E17" s="12">
        <v>-320000.0</v>
      </c>
      <c r="F17" s="12">
        <v>-212500.0</v>
      </c>
      <c r="G17" s="20"/>
    </row>
    <row r="18" hidden="1">
      <c r="A18" s="8" t="s">
        <v>59</v>
      </c>
      <c r="B18" s="12" t="s">
        <v>58</v>
      </c>
      <c r="C18" s="12" t="s">
        <v>10</v>
      </c>
      <c r="D18" s="12">
        <v>1.0</v>
      </c>
      <c r="E18" s="12">
        <v>0.0</v>
      </c>
      <c r="F18" s="12">
        <v>0.0</v>
      </c>
      <c r="G18" s="20"/>
    </row>
    <row r="19" hidden="1">
      <c r="A19" s="8" t="s">
        <v>60</v>
      </c>
      <c r="B19" s="12" t="s">
        <v>58</v>
      </c>
      <c r="C19" s="12" t="s">
        <v>10</v>
      </c>
      <c r="D19" s="12">
        <v>1.0</v>
      </c>
      <c r="E19" s="12">
        <v>0.0</v>
      </c>
      <c r="F19" s="12">
        <v>0.0</v>
      </c>
      <c r="G19" s="20"/>
    </row>
    <row r="20" hidden="1">
      <c r="A20" s="8" t="s">
        <v>61</v>
      </c>
      <c r="B20" s="12" t="s">
        <v>54</v>
      </c>
      <c r="C20" s="12" t="s">
        <v>10</v>
      </c>
      <c r="D20" s="12">
        <v>1.0</v>
      </c>
      <c r="E20" s="12">
        <v>-300000.0</v>
      </c>
      <c r="F20" s="12">
        <v>-150000.0</v>
      </c>
      <c r="G20" s="20"/>
    </row>
    <row r="21" hidden="1">
      <c r="A21" s="8" t="s">
        <v>62</v>
      </c>
      <c r="B21" s="12" t="s">
        <v>66</v>
      </c>
      <c r="C21" s="12" t="s">
        <v>10</v>
      </c>
      <c r="D21" s="12">
        <v>1.0</v>
      </c>
      <c r="E21" s="12">
        <v>-5834.0</v>
      </c>
      <c r="F21" s="12">
        <v>-5225.0</v>
      </c>
      <c r="G21" s="20"/>
    </row>
    <row r="22" hidden="1">
      <c r="A22" s="8" t="s">
        <v>64</v>
      </c>
      <c r="B22" s="12" t="s">
        <v>54</v>
      </c>
      <c r="C22" s="12" t="s">
        <v>10</v>
      </c>
      <c r="D22" s="12">
        <v>1.0</v>
      </c>
      <c r="E22" s="12">
        <v>-4100.0</v>
      </c>
      <c r="F22" s="12">
        <v>0.0</v>
      </c>
      <c r="G22" s="20"/>
    </row>
    <row r="23" hidden="1">
      <c r="A23" s="8" t="s">
        <v>67</v>
      </c>
      <c r="B23" s="12" t="s">
        <v>54</v>
      </c>
      <c r="C23" s="12" t="s">
        <v>10</v>
      </c>
      <c r="D23" s="12">
        <v>1.0</v>
      </c>
      <c r="E23" s="12">
        <v>-87000.0</v>
      </c>
      <c r="F23" s="12">
        <v>-86536.0</v>
      </c>
      <c r="G23" s="20"/>
    </row>
    <row r="24" hidden="1">
      <c r="A24" s="8" t="s">
        <v>68</v>
      </c>
      <c r="B24" s="12" t="s">
        <v>66</v>
      </c>
      <c r="C24" s="12" t="s">
        <v>10</v>
      </c>
      <c r="D24" s="12">
        <v>1.0</v>
      </c>
      <c r="E24" s="12">
        <v>-17000.0</v>
      </c>
      <c r="F24" s="12">
        <v>-12333.61</v>
      </c>
      <c r="G24" s="20"/>
    </row>
    <row r="25" hidden="1">
      <c r="A25" s="8" t="s">
        <v>69</v>
      </c>
      <c r="B25" s="12" t="s">
        <v>66</v>
      </c>
      <c r="C25" s="12" t="s">
        <v>10</v>
      </c>
      <c r="D25" s="12">
        <v>1.0</v>
      </c>
      <c r="E25" s="12">
        <v>-41660.0</v>
      </c>
      <c r="F25" s="12">
        <v>-106803.0</v>
      </c>
      <c r="G25" s="20"/>
    </row>
    <row r="26" hidden="1">
      <c r="A26" s="8" t="s">
        <v>70</v>
      </c>
      <c r="B26" s="12" t="s">
        <v>58</v>
      </c>
      <c r="C26" s="12" t="s">
        <v>10</v>
      </c>
      <c r="D26" s="12">
        <v>1.0</v>
      </c>
      <c r="E26" s="12">
        <v>-345000.0</v>
      </c>
      <c r="F26" s="12">
        <v>-325000.0</v>
      </c>
      <c r="G26" s="20"/>
    </row>
    <row r="27" hidden="1">
      <c r="A27" s="8" t="s">
        <v>71</v>
      </c>
      <c r="B27" s="12" t="s">
        <v>54</v>
      </c>
      <c r="C27" s="12" t="s">
        <v>10</v>
      </c>
      <c r="D27" s="12">
        <v>1.0</v>
      </c>
      <c r="E27" s="12">
        <v>-8300.0</v>
      </c>
      <c r="F27" s="12">
        <v>-23800.0</v>
      </c>
      <c r="G27" s="20"/>
    </row>
    <row r="28" hidden="1">
      <c r="A28" s="8" t="s">
        <v>72</v>
      </c>
      <c r="B28" s="12" t="s">
        <v>58</v>
      </c>
      <c r="C28" s="12" t="s">
        <v>10</v>
      </c>
      <c r="D28" s="12">
        <v>1.0</v>
      </c>
      <c r="E28" s="20"/>
      <c r="F28" s="12">
        <v>0.0</v>
      </c>
      <c r="G28" s="20"/>
    </row>
    <row r="29" hidden="1">
      <c r="A29" s="8" t="s">
        <v>73</v>
      </c>
      <c r="B29" s="12" t="s">
        <v>54</v>
      </c>
      <c r="C29" s="12" t="s">
        <v>10</v>
      </c>
      <c r="D29" s="12">
        <v>1.0</v>
      </c>
      <c r="E29" s="79">
        <v>-300000.0</v>
      </c>
      <c r="F29" s="12">
        <v>-385000.0</v>
      </c>
      <c r="G29" s="20"/>
    </row>
    <row r="30" hidden="1">
      <c r="A30" s="82" t="s">
        <v>62</v>
      </c>
      <c r="B30" s="83" t="s">
        <v>66</v>
      </c>
      <c r="C30" s="83" t="s">
        <v>76</v>
      </c>
      <c r="D30" s="83">
        <v>1.0</v>
      </c>
      <c r="E30" s="83">
        <v>-5834.0</v>
      </c>
      <c r="F30" s="83">
        <v>-5225.0</v>
      </c>
      <c r="G30" s="86"/>
    </row>
    <row r="31" hidden="1">
      <c r="A31" s="2" t="s">
        <v>7</v>
      </c>
      <c r="B31" s="4" t="s">
        <v>9</v>
      </c>
      <c r="C31" s="4" t="s">
        <v>76</v>
      </c>
      <c r="D31" s="4">
        <v>1.0</v>
      </c>
      <c r="E31" s="4">
        <f>'Макшанова'!L37</f>
        <v>182820</v>
      </c>
      <c r="F31" s="4">
        <v>0.0</v>
      </c>
      <c r="G31" s="95"/>
    </row>
    <row r="32" hidden="1">
      <c r="A32" s="2" t="s">
        <v>32</v>
      </c>
      <c r="B32" s="4" t="s">
        <v>9</v>
      </c>
      <c r="C32" s="4" t="s">
        <v>76</v>
      </c>
      <c r="D32" s="4">
        <v>1.0</v>
      </c>
      <c r="E32" s="4">
        <f>'Макшанова'!L39</f>
        <v>25600</v>
      </c>
      <c r="F32" s="4">
        <v>19200.0</v>
      </c>
      <c r="G32" s="95"/>
    </row>
    <row r="33" hidden="1">
      <c r="A33" s="2" t="s">
        <v>37</v>
      </c>
      <c r="B33" s="4" t="s">
        <v>9</v>
      </c>
      <c r="C33" s="4" t="s">
        <v>76</v>
      </c>
      <c r="D33" s="4">
        <v>1.0</v>
      </c>
      <c r="E33" s="95">
        <f>'Макшанова'!L43</f>
        <v>221400</v>
      </c>
      <c r="F33" s="4">
        <v>0.0</v>
      </c>
      <c r="G33" s="95"/>
    </row>
    <row r="34" hidden="1">
      <c r="A34" s="2" t="s">
        <v>38</v>
      </c>
      <c r="B34" s="4" t="s">
        <v>9</v>
      </c>
      <c r="C34" s="4" t="s">
        <v>76</v>
      </c>
      <c r="D34" s="4">
        <v>1.0</v>
      </c>
      <c r="E34" s="95">
        <f>'Макшанова'!L57</f>
        <v>38000</v>
      </c>
      <c r="F34" s="4">
        <v>57600.0</v>
      </c>
      <c r="G34" s="95"/>
    </row>
    <row r="35" hidden="1">
      <c r="A35" s="2" t="s">
        <v>39</v>
      </c>
      <c r="B35" s="4" t="s">
        <v>9</v>
      </c>
      <c r="C35" s="4" t="s">
        <v>76</v>
      </c>
      <c r="D35" s="4">
        <v>1.0</v>
      </c>
      <c r="E35" s="95">
        <f>'Макшанова'!L79</f>
        <v>123900</v>
      </c>
      <c r="F35" s="4">
        <v>0.0</v>
      </c>
      <c r="G35" s="95"/>
    </row>
    <row r="36" hidden="1">
      <c r="A36" s="2" t="s">
        <v>40</v>
      </c>
      <c r="B36" s="4" t="s">
        <v>27</v>
      </c>
      <c r="C36" s="4" t="s">
        <v>76</v>
      </c>
      <c r="D36" s="4">
        <v>1.0</v>
      </c>
      <c r="E36" s="83">
        <f>(E57+E31)*0.35*(-1)</f>
        <v>-941787</v>
      </c>
      <c r="F36" s="4">
        <v>-679260.02</v>
      </c>
      <c r="G36" s="95"/>
      <c r="J36" s="23">
        <f>E31+E58</f>
        <v>890570</v>
      </c>
    </row>
    <row r="37" hidden="1">
      <c r="A37" s="2" t="s">
        <v>41</v>
      </c>
      <c r="B37" s="4" t="s">
        <v>9</v>
      </c>
      <c r="C37" s="4" t="s">
        <v>76</v>
      </c>
      <c r="D37" s="4">
        <v>1.0</v>
      </c>
      <c r="E37" s="4">
        <f>E33*0.5*(-1)</f>
        <v>-110700</v>
      </c>
      <c r="F37" s="4">
        <v>0.0</v>
      </c>
      <c r="G37" s="95"/>
    </row>
    <row r="38" hidden="1">
      <c r="A38" s="2" t="s">
        <v>43</v>
      </c>
      <c r="B38" s="4" t="s">
        <v>27</v>
      </c>
      <c r="C38" s="4" t="s">
        <v>76</v>
      </c>
      <c r="D38" s="4">
        <v>1.0</v>
      </c>
      <c r="E38" s="83">
        <v>-150000.0</v>
      </c>
      <c r="F38" s="4">
        <v>-185100.0</v>
      </c>
      <c r="G38" s="95"/>
    </row>
    <row r="39" hidden="1">
      <c r="A39" s="2" t="s">
        <v>44</v>
      </c>
      <c r="B39" s="4" t="s">
        <v>27</v>
      </c>
      <c r="C39" s="4" t="s">
        <v>76</v>
      </c>
      <c r="D39" s="4">
        <v>1.0</v>
      </c>
      <c r="E39" s="83">
        <v>-100000.0</v>
      </c>
      <c r="F39" s="4">
        <v>-74100.0</v>
      </c>
      <c r="G39" s="95"/>
    </row>
    <row r="40" hidden="1">
      <c r="A40" s="2" t="s">
        <v>46</v>
      </c>
      <c r="B40" s="4" t="s">
        <v>27</v>
      </c>
      <c r="C40" s="4" t="s">
        <v>76</v>
      </c>
      <c r="D40" s="4">
        <v>1.0</v>
      </c>
      <c r="E40" s="83">
        <v>-42180.0</v>
      </c>
      <c r="F40" s="4">
        <v>-119500.0</v>
      </c>
      <c r="G40" s="95"/>
      <c r="H40" s="24" t="s">
        <v>49</v>
      </c>
    </row>
    <row r="41" hidden="1">
      <c r="A41" s="2" t="s">
        <v>48</v>
      </c>
      <c r="B41" s="4" t="s">
        <v>27</v>
      </c>
      <c r="C41" s="4" t="s">
        <v>76</v>
      </c>
      <c r="D41" s="4">
        <v>1.0</v>
      </c>
      <c r="E41" s="83">
        <f>E57*200/3300*(-1)</f>
        <v>-152000</v>
      </c>
      <c r="F41" s="4">
        <v>-137040.0</v>
      </c>
      <c r="G41" s="95"/>
      <c r="H41" s="24" t="s">
        <v>112</v>
      </c>
      <c r="J41" s="23">
        <f>0+J36</f>
        <v>890570</v>
      </c>
    </row>
    <row r="42" hidden="1">
      <c r="A42" s="2" t="s">
        <v>51</v>
      </c>
      <c r="B42" s="4" t="s">
        <v>54</v>
      </c>
      <c r="C42" s="4" t="s">
        <v>76</v>
      </c>
      <c r="D42" s="4">
        <v>1.0</v>
      </c>
      <c r="E42" s="83">
        <v>-333333.33</v>
      </c>
      <c r="F42" s="4">
        <v>-147150.0</v>
      </c>
      <c r="G42" s="95"/>
    </row>
    <row r="43" hidden="1">
      <c r="A43" s="2" t="s">
        <v>52</v>
      </c>
      <c r="B43" s="4" t="s">
        <v>9</v>
      </c>
      <c r="C43" s="4" t="s">
        <v>76</v>
      </c>
      <c r="D43" s="4">
        <v>1.0</v>
      </c>
      <c r="E43" s="83">
        <v>-33333.3333333333</v>
      </c>
      <c r="F43" s="4">
        <v>0.0</v>
      </c>
      <c r="G43" s="95"/>
    </row>
    <row r="44" hidden="1">
      <c r="A44" s="2" t="s">
        <v>56</v>
      </c>
      <c r="B44" s="4" t="s">
        <v>58</v>
      </c>
      <c r="C44" s="4" t="s">
        <v>76</v>
      </c>
      <c r="D44" s="4">
        <v>1.0</v>
      </c>
      <c r="E44" s="83">
        <v>-130000.0</v>
      </c>
      <c r="F44" s="4">
        <v>-130000.0</v>
      </c>
      <c r="G44" s="95"/>
    </row>
    <row r="45" hidden="1">
      <c r="A45" s="2" t="s">
        <v>57</v>
      </c>
      <c r="B45" s="4" t="s">
        <v>9</v>
      </c>
      <c r="C45" s="4" t="s">
        <v>76</v>
      </c>
      <c r="D45" s="4">
        <v>1.0</v>
      </c>
      <c r="E45" s="83">
        <v>-320000.0</v>
      </c>
      <c r="F45" s="4">
        <v>-261850.0</v>
      </c>
      <c r="G45" s="95"/>
    </row>
    <row r="46" hidden="1">
      <c r="A46" s="2" t="s">
        <v>59</v>
      </c>
      <c r="B46" s="4" t="s">
        <v>58</v>
      </c>
      <c r="C46" s="4" t="s">
        <v>76</v>
      </c>
      <c r="D46" s="4">
        <v>1.0</v>
      </c>
      <c r="E46" s="83">
        <v>0.0</v>
      </c>
      <c r="F46" s="4">
        <v>0.0</v>
      </c>
      <c r="G46" s="95"/>
    </row>
    <row r="47" hidden="1">
      <c r="A47" s="2" t="s">
        <v>60</v>
      </c>
      <c r="B47" s="4" t="s">
        <v>58</v>
      </c>
      <c r="C47" s="4" t="s">
        <v>76</v>
      </c>
      <c r="D47" s="4">
        <v>1.0</v>
      </c>
      <c r="E47" s="83">
        <v>0.0</v>
      </c>
      <c r="F47" s="4">
        <v>0.0</v>
      </c>
      <c r="G47" s="95"/>
    </row>
    <row r="48" hidden="1">
      <c r="A48" s="2" t="s">
        <v>61</v>
      </c>
      <c r="B48" s="4" t="s">
        <v>54</v>
      </c>
      <c r="C48" s="4" t="s">
        <v>76</v>
      </c>
      <c r="D48" s="4">
        <v>1.0</v>
      </c>
      <c r="E48" s="83">
        <v>-300000.0</v>
      </c>
      <c r="F48" s="4">
        <v>-170000.0</v>
      </c>
      <c r="G48" s="95"/>
    </row>
    <row r="49" hidden="1">
      <c r="A49" s="2" t="s">
        <v>64</v>
      </c>
      <c r="B49" s="4" t="s">
        <v>54</v>
      </c>
      <c r="C49" s="4" t="s">
        <v>76</v>
      </c>
      <c r="D49" s="4">
        <v>1.0</v>
      </c>
      <c r="E49" s="83">
        <v>-4100.0</v>
      </c>
      <c r="F49" s="4">
        <v>0.0</v>
      </c>
      <c r="G49" s="95"/>
    </row>
    <row r="50" hidden="1">
      <c r="A50" s="2" t="s">
        <v>67</v>
      </c>
      <c r="B50" s="4" t="s">
        <v>54</v>
      </c>
      <c r="C50" s="4" t="s">
        <v>76</v>
      </c>
      <c r="D50" s="4">
        <v>1.0</v>
      </c>
      <c r="E50" s="83">
        <v>-123000.0</v>
      </c>
      <c r="F50" s="4">
        <v>-135307.42</v>
      </c>
      <c r="G50" s="95"/>
    </row>
    <row r="51" hidden="1">
      <c r="A51" s="2" t="s">
        <v>68</v>
      </c>
      <c r="B51" s="4" t="s">
        <v>66</v>
      </c>
      <c r="C51" s="4" t="s">
        <v>76</v>
      </c>
      <c r="D51" s="4">
        <v>1.0</v>
      </c>
      <c r="E51" s="83">
        <v>-17000.0</v>
      </c>
      <c r="F51" s="4">
        <v>-24233.0</v>
      </c>
      <c r="G51" s="95"/>
    </row>
    <row r="52" hidden="1">
      <c r="A52" s="2" t="s">
        <v>69</v>
      </c>
      <c r="B52" s="4" t="s">
        <v>66</v>
      </c>
      <c r="C52" s="4" t="s">
        <v>76</v>
      </c>
      <c r="D52" s="4">
        <v>1.0</v>
      </c>
      <c r="E52" s="83">
        <v>-41660.0</v>
      </c>
      <c r="F52" s="4">
        <v>-37016.81</v>
      </c>
      <c r="G52" s="95"/>
    </row>
    <row r="53" hidden="1">
      <c r="A53" s="2" t="s">
        <v>70</v>
      </c>
      <c r="B53" s="4" t="s">
        <v>58</v>
      </c>
      <c r="C53" s="4" t="s">
        <v>76</v>
      </c>
      <c r="D53" s="4">
        <v>1.0</v>
      </c>
      <c r="E53" s="83">
        <v>-375000.0</v>
      </c>
      <c r="F53" s="4">
        <v>-365000.0</v>
      </c>
      <c r="G53" s="95"/>
    </row>
    <row r="54" hidden="1">
      <c r="A54" s="2" t="s">
        <v>71</v>
      </c>
      <c r="B54" s="4" t="s">
        <v>54</v>
      </c>
      <c r="C54" s="4" t="s">
        <v>76</v>
      </c>
      <c r="D54" s="4">
        <v>1.0</v>
      </c>
      <c r="E54" s="83">
        <v>-23800.0</v>
      </c>
      <c r="F54" s="4">
        <v>-25500.0</v>
      </c>
      <c r="G54" s="95"/>
    </row>
    <row r="55" hidden="1">
      <c r="A55" s="2" t="s">
        <v>72</v>
      </c>
      <c r="B55" s="4" t="s">
        <v>58</v>
      </c>
      <c r="C55" s="4" t="s">
        <v>76</v>
      </c>
      <c r="D55" s="4">
        <v>1.0</v>
      </c>
      <c r="E55" s="86"/>
      <c r="F55" s="4">
        <v>0.0</v>
      </c>
      <c r="G55" s="95"/>
    </row>
    <row r="56" hidden="1">
      <c r="A56" s="2" t="s">
        <v>73</v>
      </c>
      <c r="B56" s="4" t="s">
        <v>54</v>
      </c>
      <c r="C56" s="4" t="s">
        <v>76</v>
      </c>
      <c r="D56" s="4">
        <v>1.0</v>
      </c>
      <c r="E56" s="4">
        <v>-300000.0</v>
      </c>
      <c r="F56" s="4">
        <v>-385000.0</v>
      </c>
      <c r="G56" s="95"/>
    </row>
    <row r="57" hidden="1">
      <c r="A57" s="82" t="s">
        <v>26</v>
      </c>
      <c r="B57" s="83" t="s">
        <v>27</v>
      </c>
      <c r="C57" s="83" t="s">
        <v>76</v>
      </c>
      <c r="D57" s="83">
        <v>1.0</v>
      </c>
      <c r="E57" s="23">
        <v>2508000.0</v>
      </c>
      <c r="F57" s="4">
        <v>2376135.0</v>
      </c>
      <c r="G57" s="95"/>
    </row>
    <row r="58" hidden="1">
      <c r="A58" s="8" t="s">
        <v>7</v>
      </c>
      <c r="B58" s="12" t="s">
        <v>9</v>
      </c>
      <c r="C58" s="12" t="s">
        <v>88</v>
      </c>
      <c r="D58" s="12">
        <v>1.0</v>
      </c>
      <c r="E58" s="20">
        <f>'Макшанова'!O37</f>
        <v>707750</v>
      </c>
      <c r="F58" s="12">
        <v>4185030.0</v>
      </c>
      <c r="G58" s="20"/>
    </row>
    <row r="59" hidden="1">
      <c r="A59" s="8" t="s">
        <v>32</v>
      </c>
      <c r="B59" s="12" t="s">
        <v>9</v>
      </c>
      <c r="C59" s="12" t="s">
        <v>88</v>
      </c>
      <c r="D59" s="12">
        <v>1.0</v>
      </c>
      <c r="E59" s="12">
        <f>'Макшанова'!O39</f>
        <v>32000</v>
      </c>
      <c r="F59" s="12">
        <v>24200.0</v>
      </c>
      <c r="G59" s="20"/>
    </row>
    <row r="60" hidden="1">
      <c r="A60" s="8" t="s">
        <v>37</v>
      </c>
      <c r="B60" s="12" t="s">
        <v>9</v>
      </c>
      <c r="C60" s="12" t="s">
        <v>88</v>
      </c>
      <c r="D60" s="12">
        <v>1.0</v>
      </c>
      <c r="E60" s="20">
        <f>'Макшанова'!O43</f>
        <v>164000</v>
      </c>
      <c r="F60" s="12">
        <v>114000.0</v>
      </c>
      <c r="G60" s="20"/>
    </row>
    <row r="61" hidden="1">
      <c r="A61" s="8" t="s">
        <v>38</v>
      </c>
      <c r="B61" s="12" t="s">
        <v>9</v>
      </c>
      <c r="C61" s="12" t="s">
        <v>88</v>
      </c>
      <c r="D61" s="12">
        <v>1.0</v>
      </c>
      <c r="E61" s="20">
        <f>'Макшанова'!O57</f>
        <v>38000</v>
      </c>
      <c r="F61" s="12">
        <v>81000.0</v>
      </c>
      <c r="G61" s="20"/>
    </row>
    <row r="62" hidden="1">
      <c r="A62" s="8" t="s">
        <v>39</v>
      </c>
      <c r="B62" s="12" t="s">
        <v>9</v>
      </c>
      <c r="C62" s="12" t="s">
        <v>88</v>
      </c>
      <c r="D62" s="12">
        <v>1.0</v>
      </c>
      <c r="E62" s="20">
        <f>'Макшанова'!O79</f>
        <v>223900</v>
      </c>
      <c r="F62" s="20"/>
      <c r="G62" s="20"/>
    </row>
    <row r="63" hidden="1">
      <c r="A63" s="8" t="s">
        <v>40</v>
      </c>
      <c r="B63" s="12" t="s">
        <v>27</v>
      </c>
      <c r="C63" s="12" t="s">
        <v>88</v>
      </c>
      <c r="D63" s="12">
        <v>1.0</v>
      </c>
      <c r="E63" s="12">
        <f>(E85+E58)*0.35*(-1)</f>
        <v>-1334112.5</v>
      </c>
      <c r="F63" s="12">
        <v>-1175599.99</v>
      </c>
      <c r="G63" s="20"/>
      <c r="J63" s="23">
        <f>E58+E85</f>
        <v>3811750</v>
      </c>
    </row>
    <row r="64" hidden="1">
      <c r="A64" s="8" t="s">
        <v>41</v>
      </c>
      <c r="B64" s="12" t="s">
        <v>9</v>
      </c>
      <c r="C64" s="12" t="s">
        <v>88</v>
      </c>
      <c r="D64" s="12">
        <v>1.0</v>
      </c>
      <c r="E64" s="12">
        <f>E60*0.5*(-1)</f>
        <v>-82000</v>
      </c>
      <c r="F64" s="12">
        <v>-50000.0</v>
      </c>
      <c r="G64" s="20"/>
    </row>
    <row r="65" hidden="1">
      <c r="A65" s="8" t="s">
        <v>43</v>
      </c>
      <c r="B65" s="12" t="s">
        <v>27</v>
      </c>
      <c r="C65" s="12" t="s">
        <v>88</v>
      </c>
      <c r="D65" s="12">
        <v>1.0</v>
      </c>
      <c r="E65" s="12">
        <v>-70000.0</v>
      </c>
      <c r="F65" s="12">
        <v>-276120.0</v>
      </c>
      <c r="G65" s="20"/>
    </row>
    <row r="66" hidden="1">
      <c r="A66" s="8" t="s">
        <v>44</v>
      </c>
      <c r="B66" s="12" t="s">
        <v>27</v>
      </c>
      <c r="C66" s="12" t="s">
        <v>88</v>
      </c>
      <c r="D66" s="12">
        <v>1.0</v>
      </c>
      <c r="E66" s="12">
        <v>-50000.0</v>
      </c>
      <c r="F66" s="12">
        <v>-66800.0</v>
      </c>
      <c r="G66" s="20"/>
    </row>
    <row r="67" hidden="1">
      <c r="A67" s="8" t="s">
        <v>46</v>
      </c>
      <c r="B67" s="12" t="s">
        <v>27</v>
      </c>
      <c r="C67" s="12" t="s">
        <v>88</v>
      </c>
      <c r="D67" s="12">
        <v>1.0</v>
      </c>
      <c r="E67" s="12">
        <v>-42180.0</v>
      </c>
      <c r="F67" s="12">
        <v>-120720.0</v>
      </c>
      <c r="G67" s="20"/>
      <c r="H67" s="24" t="s">
        <v>49</v>
      </c>
    </row>
    <row r="68" hidden="1">
      <c r="A68" s="8" t="s">
        <v>48</v>
      </c>
      <c r="B68" s="12" t="s">
        <v>27</v>
      </c>
      <c r="C68" s="12" t="s">
        <v>88</v>
      </c>
      <c r="D68" s="12">
        <v>1.0</v>
      </c>
      <c r="E68" s="12">
        <f>E85*200/3300*(-1)</f>
        <v>-188121.2121</v>
      </c>
      <c r="F68" s="12">
        <v>-250440.0</v>
      </c>
      <c r="G68" s="20"/>
      <c r="J68" s="23">
        <f>J63</f>
        <v>3811750</v>
      </c>
    </row>
    <row r="69" hidden="1">
      <c r="A69" s="8" t="s">
        <v>51</v>
      </c>
      <c r="B69" s="12" t="s">
        <v>54</v>
      </c>
      <c r="C69" s="12" t="s">
        <v>88</v>
      </c>
      <c r="D69" s="12">
        <v>1.0</v>
      </c>
      <c r="E69" s="12">
        <v>-333333.33</v>
      </c>
      <c r="F69" s="12">
        <v>-359050.0</v>
      </c>
      <c r="G69" s="20"/>
    </row>
    <row r="70" hidden="1">
      <c r="A70" s="8" t="s">
        <v>52</v>
      </c>
      <c r="B70" s="12" t="s">
        <v>9</v>
      </c>
      <c r="C70" s="12" t="s">
        <v>88</v>
      </c>
      <c r="D70" s="12">
        <v>1.0</v>
      </c>
      <c r="E70" s="12">
        <v>-33333.3333333333</v>
      </c>
      <c r="F70" s="12">
        <v>-18500.0</v>
      </c>
      <c r="G70" s="20"/>
    </row>
    <row r="71" hidden="1">
      <c r="A71" s="8" t="s">
        <v>56</v>
      </c>
      <c r="B71" s="12" t="s">
        <v>58</v>
      </c>
      <c r="C71" s="12" t="s">
        <v>88</v>
      </c>
      <c r="D71" s="12">
        <v>1.0</v>
      </c>
      <c r="E71" s="12">
        <v>-130000.0</v>
      </c>
      <c r="F71" s="12">
        <v>-130000.0</v>
      </c>
      <c r="G71" s="20"/>
    </row>
    <row r="72" hidden="1">
      <c r="A72" s="8" t="s">
        <v>57</v>
      </c>
      <c r="B72" s="12" t="s">
        <v>9</v>
      </c>
      <c r="C72" s="12" t="s">
        <v>88</v>
      </c>
      <c r="D72" s="12">
        <v>1.0</v>
      </c>
      <c r="E72" s="12">
        <v>-320000.0</v>
      </c>
      <c r="F72" s="12">
        <v>-230350.0</v>
      </c>
      <c r="G72" s="20"/>
    </row>
    <row r="73" hidden="1">
      <c r="A73" s="8" t="s">
        <v>59</v>
      </c>
      <c r="B73" s="12" t="s">
        <v>58</v>
      </c>
      <c r="C73" s="12" t="s">
        <v>88</v>
      </c>
      <c r="D73" s="12">
        <v>1.0</v>
      </c>
      <c r="E73" s="12">
        <v>0.0</v>
      </c>
      <c r="F73" s="12">
        <v>0.0</v>
      </c>
      <c r="G73" s="20"/>
    </row>
    <row r="74" hidden="1">
      <c r="A74" s="8" t="s">
        <v>60</v>
      </c>
      <c r="B74" s="12" t="s">
        <v>58</v>
      </c>
      <c r="C74" s="12" t="s">
        <v>88</v>
      </c>
      <c r="D74" s="12">
        <v>1.0</v>
      </c>
      <c r="E74" s="12">
        <v>0.0</v>
      </c>
      <c r="F74" s="12">
        <v>0.0</v>
      </c>
      <c r="G74" s="20"/>
    </row>
    <row r="75" hidden="1">
      <c r="A75" s="8" t="s">
        <v>61</v>
      </c>
      <c r="B75" s="12" t="s">
        <v>54</v>
      </c>
      <c r="C75" s="12" t="s">
        <v>88</v>
      </c>
      <c r="D75" s="12">
        <v>1.0</v>
      </c>
      <c r="E75" s="12">
        <v>-300000.0</v>
      </c>
      <c r="F75" s="12">
        <v>-170000.0</v>
      </c>
      <c r="G75" s="20"/>
    </row>
    <row r="76" hidden="1">
      <c r="A76" s="8" t="s">
        <v>62</v>
      </c>
      <c r="B76" s="12" t="s">
        <v>66</v>
      </c>
      <c r="C76" s="12" t="s">
        <v>88</v>
      </c>
      <c r="D76" s="12">
        <v>1.0</v>
      </c>
      <c r="E76" s="12">
        <v>-5834.0</v>
      </c>
      <c r="F76" s="12">
        <v>-5325.0</v>
      </c>
      <c r="G76" s="20"/>
    </row>
    <row r="77" hidden="1">
      <c r="A77" s="8" t="s">
        <v>64</v>
      </c>
      <c r="B77" s="12" t="s">
        <v>54</v>
      </c>
      <c r="C77" s="12" t="s">
        <v>88</v>
      </c>
      <c r="D77" s="12">
        <v>1.0</v>
      </c>
      <c r="E77" s="12">
        <v>-4100.0</v>
      </c>
      <c r="F77" s="12">
        <v>0.0</v>
      </c>
      <c r="G77" s="20"/>
    </row>
    <row r="78" hidden="1">
      <c r="A78" s="8" t="s">
        <v>67</v>
      </c>
      <c r="B78" s="12" t="s">
        <v>54</v>
      </c>
      <c r="C78" s="12" t="s">
        <v>88</v>
      </c>
      <c r="D78" s="12">
        <v>1.0</v>
      </c>
      <c r="E78" s="12">
        <v>-123000.0</v>
      </c>
      <c r="F78" s="12">
        <v>-135307.42</v>
      </c>
      <c r="G78" s="20"/>
    </row>
    <row r="79" hidden="1">
      <c r="A79" s="8" t="s">
        <v>68</v>
      </c>
      <c r="B79" s="12" t="s">
        <v>66</v>
      </c>
      <c r="C79" s="12" t="s">
        <v>88</v>
      </c>
      <c r="D79" s="12">
        <v>1.0</v>
      </c>
      <c r="E79" s="12">
        <v>-17000.0</v>
      </c>
      <c r="F79" s="12">
        <v>-15600.0</v>
      </c>
      <c r="G79" s="20"/>
    </row>
    <row r="80" hidden="1">
      <c r="A80" s="8" t="s">
        <v>69</v>
      </c>
      <c r="B80" s="12" t="s">
        <v>66</v>
      </c>
      <c r="C80" s="12" t="s">
        <v>88</v>
      </c>
      <c r="D80" s="12">
        <v>1.0</v>
      </c>
      <c r="E80" s="12">
        <v>-41660.0</v>
      </c>
      <c r="F80" s="12">
        <v>-53287.0</v>
      </c>
      <c r="G80" s="20"/>
    </row>
    <row r="81" hidden="1">
      <c r="A81" s="8" t="s">
        <v>70</v>
      </c>
      <c r="B81" s="12" t="s">
        <v>58</v>
      </c>
      <c r="C81" s="12" t="s">
        <v>88</v>
      </c>
      <c r="D81" s="12">
        <v>1.0</v>
      </c>
      <c r="E81" s="12">
        <v>-375000.0</v>
      </c>
      <c r="F81" s="12">
        <v>-365000.0</v>
      </c>
      <c r="G81" s="20"/>
    </row>
    <row r="82" hidden="1">
      <c r="A82" s="8" t="s">
        <v>71</v>
      </c>
      <c r="B82" s="12" t="s">
        <v>54</v>
      </c>
      <c r="C82" s="12" t="s">
        <v>89</v>
      </c>
      <c r="D82" s="12">
        <v>1.0</v>
      </c>
      <c r="E82" s="12">
        <v>-23800.0</v>
      </c>
      <c r="F82" s="12">
        <v>-14325.0</v>
      </c>
      <c r="G82" s="20"/>
    </row>
    <row r="83" hidden="1">
      <c r="A83" s="8" t="s">
        <v>72</v>
      </c>
      <c r="B83" s="12" t="s">
        <v>58</v>
      </c>
      <c r="C83" s="12" t="s">
        <v>88</v>
      </c>
      <c r="D83" s="12">
        <v>1.0</v>
      </c>
      <c r="E83" s="20"/>
      <c r="F83" s="12">
        <v>0.0</v>
      </c>
      <c r="G83" s="20"/>
    </row>
    <row r="84" hidden="1">
      <c r="A84" s="8" t="s">
        <v>73</v>
      </c>
      <c r="B84" s="12" t="s">
        <v>54</v>
      </c>
      <c r="C84" s="12" t="s">
        <v>88</v>
      </c>
      <c r="D84" s="12">
        <v>1.0</v>
      </c>
      <c r="E84" s="12">
        <v>-300000.0</v>
      </c>
      <c r="F84" s="12">
        <v>-405000.0</v>
      </c>
      <c r="G84" s="20"/>
    </row>
    <row r="85" hidden="1">
      <c r="A85" s="8" t="s">
        <v>26</v>
      </c>
      <c r="B85" s="12" t="s">
        <v>27</v>
      </c>
      <c r="C85" s="12" t="s">
        <v>88</v>
      </c>
      <c r="D85" s="12">
        <v>1.0</v>
      </c>
      <c r="E85" s="193">
        <v>3104000.0</v>
      </c>
      <c r="F85" s="20"/>
      <c r="G85" s="20"/>
    </row>
    <row r="86" hidden="1">
      <c r="A86" s="2" t="s">
        <v>7</v>
      </c>
      <c r="B86" s="4" t="s">
        <v>9</v>
      </c>
      <c r="C86" s="4" t="s">
        <v>89</v>
      </c>
      <c r="D86" s="4">
        <v>2.0</v>
      </c>
      <c r="E86" s="86">
        <f>'Макшанова'!R37</f>
        <v>608000</v>
      </c>
      <c r="F86" s="4">
        <v>31500.0</v>
      </c>
      <c r="G86" s="95"/>
    </row>
    <row r="87" hidden="1">
      <c r="A87" s="2" t="s">
        <v>32</v>
      </c>
      <c r="B87" s="4" t="s">
        <v>9</v>
      </c>
      <c r="C87" s="4" t="s">
        <v>89</v>
      </c>
      <c r="D87" s="4">
        <v>2.0</v>
      </c>
      <c r="E87" s="83">
        <f>'Макшанова'!R39</f>
        <v>32000</v>
      </c>
      <c r="F87" s="4">
        <v>19200.0</v>
      </c>
      <c r="G87" s="95"/>
    </row>
    <row r="88" hidden="1">
      <c r="A88" s="2" t="s">
        <v>37</v>
      </c>
      <c r="B88" s="4" t="s">
        <v>9</v>
      </c>
      <c r="C88" s="4" t="s">
        <v>89</v>
      </c>
      <c r="D88" s="4">
        <v>2.0</v>
      </c>
      <c r="E88" s="86">
        <f>'Макшанова'!R56</f>
        <v>100000</v>
      </c>
      <c r="F88" s="4">
        <v>14700.0</v>
      </c>
      <c r="G88" s="95"/>
    </row>
    <row r="89" hidden="1">
      <c r="A89" s="2" t="s">
        <v>38</v>
      </c>
      <c r="B89" s="4" t="s">
        <v>9</v>
      </c>
      <c r="C89" s="4" t="s">
        <v>89</v>
      </c>
      <c r="D89" s="4">
        <v>2.0</v>
      </c>
      <c r="E89" s="86">
        <f>'Макшанова'!R57</f>
        <v>38000</v>
      </c>
      <c r="F89" s="4">
        <v>54000.0</v>
      </c>
      <c r="G89" s="95"/>
    </row>
    <row r="90" hidden="1">
      <c r="A90" s="2" t="s">
        <v>39</v>
      </c>
      <c r="B90" s="4" t="s">
        <v>9</v>
      </c>
      <c r="C90" s="4" t="s">
        <v>89</v>
      </c>
      <c r="D90" s="4">
        <v>2.0</v>
      </c>
      <c r="E90" s="86">
        <f>'Макшанова'!R79</f>
        <v>97650</v>
      </c>
      <c r="F90" s="4">
        <v>48657.0</v>
      </c>
      <c r="G90" s="95"/>
    </row>
    <row r="91" hidden="1">
      <c r="A91" s="2" t="s">
        <v>40</v>
      </c>
      <c r="B91" s="4" t="s">
        <v>27</v>
      </c>
      <c r="C91" s="4" t="s">
        <v>89</v>
      </c>
      <c r="D91" s="4">
        <v>2.0</v>
      </c>
      <c r="E91" s="83">
        <f>(E113+E86)*0.35*(-1)</f>
        <v>-1310050</v>
      </c>
      <c r="F91" s="26">
        <v>-1265803.99</v>
      </c>
      <c r="G91" s="95"/>
      <c r="J91" s="23">
        <f>E86+E113</f>
        <v>3743000</v>
      </c>
    </row>
    <row r="92" hidden="1">
      <c r="A92" s="2" t="s">
        <v>41</v>
      </c>
      <c r="B92" s="4" t="s">
        <v>9</v>
      </c>
      <c r="C92" s="4" t="s">
        <v>89</v>
      </c>
      <c r="D92" s="4">
        <v>2.0</v>
      </c>
      <c r="E92" s="83">
        <f>E88*0.5*(-1)</f>
        <v>-50000</v>
      </c>
      <c r="F92" s="26">
        <v>-7500.0</v>
      </c>
      <c r="G92" s="95"/>
    </row>
    <row r="93" hidden="1">
      <c r="A93" s="2" t="s">
        <v>43</v>
      </c>
      <c r="B93" s="4" t="s">
        <v>27</v>
      </c>
      <c r="C93" s="4" t="s">
        <v>89</v>
      </c>
      <c r="D93" s="4">
        <v>2.0</v>
      </c>
      <c r="E93" s="83">
        <v>-70000.0</v>
      </c>
      <c r="F93" s="26">
        <v>-72320.0</v>
      </c>
      <c r="G93" s="95"/>
    </row>
    <row r="94" hidden="1">
      <c r="A94" s="2" t="s">
        <v>44</v>
      </c>
      <c r="B94" s="4" t="s">
        <v>27</v>
      </c>
      <c r="C94" s="4" t="s">
        <v>89</v>
      </c>
      <c r="D94" s="4">
        <v>2.0</v>
      </c>
      <c r="E94" s="83">
        <v>-50000.0</v>
      </c>
      <c r="F94" s="26">
        <v>-136400.0</v>
      </c>
      <c r="G94" s="95"/>
    </row>
    <row r="95" hidden="1">
      <c r="A95" s="2" t="s">
        <v>46</v>
      </c>
      <c r="B95" s="4" t="s">
        <v>27</v>
      </c>
      <c r="C95" s="4" t="s">
        <v>89</v>
      </c>
      <c r="D95" s="4">
        <v>2.0</v>
      </c>
      <c r="E95" s="83">
        <v>-42180.0</v>
      </c>
      <c r="F95" s="26">
        <v>-275468.0</v>
      </c>
      <c r="G95" s="95"/>
      <c r="H95" s="24" t="s">
        <v>49</v>
      </c>
    </row>
    <row r="96" hidden="1">
      <c r="A96" s="2" t="s">
        <v>48</v>
      </c>
      <c r="B96" s="4" t="s">
        <v>27</v>
      </c>
      <c r="C96" s="4" t="s">
        <v>89</v>
      </c>
      <c r="D96" s="4">
        <v>2.0</v>
      </c>
      <c r="E96" s="83">
        <f>E113*200/3300*(-1)</f>
        <v>-190000</v>
      </c>
      <c r="F96" s="26">
        <v>-265800.0</v>
      </c>
      <c r="G96" s="95"/>
      <c r="J96" s="23">
        <f>J91</f>
        <v>3743000</v>
      </c>
    </row>
    <row r="97" hidden="1">
      <c r="A97" s="2" t="s">
        <v>51</v>
      </c>
      <c r="B97" s="4" t="s">
        <v>54</v>
      </c>
      <c r="C97" s="4" t="s">
        <v>89</v>
      </c>
      <c r="D97" s="4">
        <v>2.0</v>
      </c>
      <c r="E97" s="83">
        <v>-333333.33</v>
      </c>
      <c r="F97" s="26">
        <v>-391800.0</v>
      </c>
      <c r="G97" s="95"/>
    </row>
    <row r="98" hidden="1">
      <c r="A98" s="2" t="s">
        <v>52</v>
      </c>
      <c r="B98" s="4" t="s">
        <v>9</v>
      </c>
      <c r="C98" s="4" t="s">
        <v>89</v>
      </c>
      <c r="D98" s="4">
        <v>2.0</v>
      </c>
      <c r="E98" s="83">
        <v>-33333.3333333333</v>
      </c>
      <c r="F98" s="26">
        <v>0.0</v>
      </c>
      <c r="G98" s="95"/>
    </row>
    <row r="99" hidden="1">
      <c r="A99" s="2" t="s">
        <v>56</v>
      </c>
      <c r="B99" s="4" t="s">
        <v>58</v>
      </c>
      <c r="C99" s="4" t="s">
        <v>89</v>
      </c>
      <c r="D99" s="4">
        <v>2.0</v>
      </c>
      <c r="E99" s="83">
        <v>-130000.0</v>
      </c>
      <c r="F99" s="26">
        <v>-130000.0</v>
      </c>
      <c r="G99" s="95"/>
    </row>
    <row r="100" hidden="1">
      <c r="A100" s="2" t="s">
        <v>57</v>
      </c>
      <c r="B100" s="4" t="s">
        <v>9</v>
      </c>
      <c r="C100" s="4" t="s">
        <v>89</v>
      </c>
      <c r="D100" s="4">
        <v>2.0</v>
      </c>
      <c r="E100" s="83">
        <v>-320000.0</v>
      </c>
      <c r="F100" s="26">
        <v>-305400.0</v>
      </c>
      <c r="G100" s="95"/>
    </row>
    <row r="101" hidden="1">
      <c r="A101" s="2" t="s">
        <v>59</v>
      </c>
      <c r="B101" s="4" t="s">
        <v>58</v>
      </c>
      <c r="C101" s="4" t="s">
        <v>89</v>
      </c>
      <c r="D101" s="4">
        <v>2.0</v>
      </c>
      <c r="E101" s="83">
        <v>0.0</v>
      </c>
      <c r="F101" s="26">
        <v>0.0</v>
      </c>
      <c r="G101" s="95"/>
    </row>
    <row r="102" hidden="1">
      <c r="A102" s="2" t="s">
        <v>60</v>
      </c>
      <c r="B102" s="4" t="s">
        <v>58</v>
      </c>
      <c r="C102" s="4" t="s">
        <v>89</v>
      </c>
      <c r="D102" s="4">
        <v>2.0</v>
      </c>
      <c r="E102" s="83">
        <v>0.0</v>
      </c>
      <c r="F102" s="26">
        <v>0.0</v>
      </c>
      <c r="G102" s="95"/>
    </row>
    <row r="103" hidden="1">
      <c r="A103" s="2" t="s">
        <v>61</v>
      </c>
      <c r="B103" s="4" t="s">
        <v>54</v>
      </c>
      <c r="C103" s="4" t="s">
        <v>89</v>
      </c>
      <c r="D103" s="4">
        <v>2.0</v>
      </c>
      <c r="E103" s="83">
        <v>-170000.0</v>
      </c>
      <c r="F103" s="26">
        <v>-170000.0</v>
      </c>
      <c r="G103" s="95"/>
    </row>
    <row r="104" hidden="1">
      <c r="A104" s="2" t="s">
        <v>62</v>
      </c>
      <c r="B104" s="4" t="s">
        <v>66</v>
      </c>
      <c r="C104" s="4" t="s">
        <v>89</v>
      </c>
      <c r="D104" s="4">
        <v>2.0</v>
      </c>
      <c r="E104" s="83">
        <v>-5834.0</v>
      </c>
      <c r="F104" s="26">
        <v>-5834.0</v>
      </c>
      <c r="G104" s="95"/>
    </row>
    <row r="105" hidden="1">
      <c r="A105" s="2" t="s">
        <v>64</v>
      </c>
      <c r="B105" s="4" t="s">
        <v>54</v>
      </c>
      <c r="C105" s="4" t="s">
        <v>89</v>
      </c>
      <c r="D105" s="4">
        <v>2.0</v>
      </c>
      <c r="E105" s="83">
        <v>-4100.0</v>
      </c>
      <c r="F105" s="26">
        <v>-5960.35</v>
      </c>
      <c r="G105" s="95"/>
    </row>
    <row r="106" hidden="1">
      <c r="A106" s="2" t="s">
        <v>67</v>
      </c>
      <c r="B106" s="4" t="s">
        <v>54</v>
      </c>
      <c r="C106" s="4" t="s">
        <v>89</v>
      </c>
      <c r="D106" s="4">
        <v>2.0</v>
      </c>
      <c r="E106" s="83">
        <v>-123000.0</v>
      </c>
      <c r="F106" s="26">
        <v>-135307.42</v>
      </c>
      <c r="G106" s="95"/>
    </row>
    <row r="107" hidden="1">
      <c r="A107" s="2" t="s">
        <v>68</v>
      </c>
      <c r="B107" s="4" t="s">
        <v>66</v>
      </c>
      <c r="C107" s="4" t="s">
        <v>89</v>
      </c>
      <c r="D107" s="4">
        <v>2.0</v>
      </c>
      <c r="E107" s="83">
        <v>-17000.0</v>
      </c>
      <c r="F107" s="4">
        <v>-18312.9</v>
      </c>
      <c r="G107" s="95"/>
    </row>
    <row r="108" hidden="1">
      <c r="A108" s="2" t="s">
        <v>69</v>
      </c>
      <c r="B108" s="4" t="s">
        <v>66</v>
      </c>
      <c r="C108" s="4" t="s">
        <v>89</v>
      </c>
      <c r="D108" s="4">
        <v>2.0</v>
      </c>
      <c r="E108" s="83">
        <v>-41660.0</v>
      </c>
      <c r="F108" s="4">
        <v>-28105.0</v>
      </c>
      <c r="G108" s="95"/>
    </row>
    <row r="109" hidden="1">
      <c r="A109" s="2" t="s">
        <v>70</v>
      </c>
      <c r="B109" s="4" t="s">
        <v>58</v>
      </c>
      <c r="C109" s="4" t="s">
        <v>89</v>
      </c>
      <c r="D109" s="4">
        <v>2.0</v>
      </c>
      <c r="E109" s="83">
        <v>-375000.0</v>
      </c>
      <c r="F109" s="4">
        <v>-365000.0</v>
      </c>
      <c r="G109" s="95"/>
    </row>
    <row r="110" hidden="1">
      <c r="A110" s="2" t="s">
        <v>71</v>
      </c>
      <c r="B110" s="4" t="s">
        <v>54</v>
      </c>
      <c r="C110" s="4" t="s">
        <v>89</v>
      </c>
      <c r="D110" s="4">
        <v>2.0</v>
      </c>
      <c r="E110" s="83">
        <v>-23800.0</v>
      </c>
      <c r="F110" s="4">
        <v>-16376.41</v>
      </c>
      <c r="G110" s="95"/>
    </row>
    <row r="111" hidden="1">
      <c r="A111" s="2" t="s">
        <v>72</v>
      </c>
      <c r="B111" s="4" t="s">
        <v>58</v>
      </c>
      <c r="C111" s="4" t="s">
        <v>89</v>
      </c>
      <c r="D111" s="4">
        <v>2.0</v>
      </c>
      <c r="E111" s="95"/>
      <c r="F111" s="4">
        <v>-63000.0</v>
      </c>
      <c r="G111" s="95"/>
    </row>
    <row r="112" hidden="1">
      <c r="A112" s="2" t="s">
        <v>73</v>
      </c>
      <c r="B112" s="4" t="s">
        <v>54</v>
      </c>
      <c r="C112" s="4" t="s">
        <v>89</v>
      </c>
      <c r="D112" s="4">
        <v>2.0</v>
      </c>
      <c r="E112" s="4">
        <v>-400000.0</v>
      </c>
      <c r="F112" s="4">
        <v>-415000.0</v>
      </c>
      <c r="G112" s="95"/>
    </row>
    <row r="113" hidden="1">
      <c r="A113" s="2" t="s">
        <v>26</v>
      </c>
      <c r="B113" s="4" t="s">
        <v>27</v>
      </c>
      <c r="C113" s="4" t="s">
        <v>89</v>
      </c>
      <c r="D113" s="4">
        <v>2.0</v>
      </c>
      <c r="E113" s="23">
        <v>3135000.0</v>
      </c>
      <c r="F113" s="4">
        <v>4500030.0</v>
      </c>
      <c r="G113" s="95"/>
    </row>
    <row r="114" hidden="1">
      <c r="A114" s="8" t="s">
        <v>7</v>
      </c>
      <c r="B114" s="12" t="s">
        <v>9</v>
      </c>
      <c r="C114" s="12" t="s">
        <v>28</v>
      </c>
      <c r="D114" s="12">
        <v>2.0</v>
      </c>
      <c r="E114" s="20">
        <f>'Макшанова'!U37</f>
        <v>342000</v>
      </c>
      <c r="F114" s="12">
        <v>110690.0</v>
      </c>
      <c r="G114" s="20"/>
    </row>
    <row r="115" hidden="1">
      <c r="A115" s="8" t="s">
        <v>32</v>
      </c>
      <c r="B115" s="12" t="s">
        <v>9</v>
      </c>
      <c r="C115" s="12" t="s">
        <v>28</v>
      </c>
      <c r="D115" s="12">
        <v>2.0</v>
      </c>
      <c r="E115" s="12">
        <f>'Макшанова'!U39</f>
        <v>32000</v>
      </c>
      <c r="F115" s="12">
        <v>19200.0</v>
      </c>
      <c r="G115" s="20"/>
    </row>
    <row r="116" hidden="1">
      <c r="A116" s="8" t="s">
        <v>37</v>
      </c>
      <c r="B116" s="12" t="s">
        <v>9</v>
      </c>
      <c r="C116" s="12" t="s">
        <v>28</v>
      </c>
      <c r="D116" s="12">
        <v>2.0</v>
      </c>
      <c r="E116" s="20">
        <f>'Макшанова'!U43</f>
        <v>50000</v>
      </c>
      <c r="F116" s="12">
        <v>92730.0</v>
      </c>
      <c r="G116" s="20"/>
    </row>
    <row r="117" hidden="1">
      <c r="A117" s="8" t="s">
        <v>38</v>
      </c>
      <c r="B117" s="12" t="s">
        <v>9</v>
      </c>
      <c r="C117" s="12" t="s">
        <v>28</v>
      </c>
      <c r="D117" s="12">
        <v>2.0</v>
      </c>
      <c r="E117" s="20">
        <f>'Макшанова'!U57</f>
        <v>57000</v>
      </c>
      <c r="F117" s="12">
        <v>238360.0</v>
      </c>
      <c r="G117" s="20"/>
    </row>
    <row r="118" hidden="1">
      <c r="A118" s="8" t="s">
        <v>39</v>
      </c>
      <c r="B118" s="12" t="s">
        <v>9</v>
      </c>
      <c r="C118" s="12" t="s">
        <v>28</v>
      </c>
      <c r="D118" s="12">
        <v>2.0</v>
      </c>
      <c r="E118" s="20">
        <f>'Макшанова'!U79</f>
        <v>61950</v>
      </c>
      <c r="F118" s="12">
        <v>91230.0</v>
      </c>
      <c r="G118" s="20"/>
    </row>
    <row r="119" hidden="1">
      <c r="A119" s="8" t="s">
        <v>25</v>
      </c>
      <c r="B119" s="12" t="s">
        <v>27</v>
      </c>
      <c r="C119" s="12" t="s">
        <v>28</v>
      </c>
      <c r="D119" s="12">
        <v>2.0</v>
      </c>
      <c r="E119" s="12">
        <f>(E141+E114)*0.35*(-1)</f>
        <v>-928200</v>
      </c>
      <c r="F119" s="12">
        <v>-1437760.02</v>
      </c>
      <c r="G119" s="20"/>
      <c r="J119" s="23">
        <f>E114+E141</f>
        <v>2652000</v>
      </c>
    </row>
    <row r="120" hidden="1">
      <c r="A120" s="8" t="s">
        <v>42</v>
      </c>
      <c r="B120" s="12" t="s">
        <v>9</v>
      </c>
      <c r="C120" s="12" t="s">
        <v>28</v>
      </c>
      <c r="D120" s="12">
        <v>2.0</v>
      </c>
      <c r="E120" s="12">
        <f>E116*0.5*(-1)</f>
        <v>-25000</v>
      </c>
      <c r="F120" s="12">
        <v>-69150.0</v>
      </c>
      <c r="G120" s="20"/>
    </row>
    <row r="121" hidden="1">
      <c r="A121" s="8" t="s">
        <v>43</v>
      </c>
      <c r="B121" s="12" t="s">
        <v>27</v>
      </c>
      <c r="C121" s="12" t="s">
        <v>28</v>
      </c>
      <c r="D121" s="12">
        <v>2.0</v>
      </c>
      <c r="E121" s="12">
        <v>-150000.0</v>
      </c>
      <c r="F121" s="12">
        <v>-123800.0</v>
      </c>
      <c r="G121" s="20"/>
    </row>
    <row r="122" hidden="1">
      <c r="A122" s="8" t="s">
        <v>44</v>
      </c>
      <c r="B122" s="12" t="s">
        <v>27</v>
      </c>
      <c r="C122" s="12" t="s">
        <v>28</v>
      </c>
      <c r="D122" s="12">
        <v>2.0</v>
      </c>
      <c r="E122" s="12">
        <v>-50000.0</v>
      </c>
      <c r="F122" s="12">
        <v>-71500.0</v>
      </c>
      <c r="G122" s="20"/>
    </row>
    <row r="123" hidden="1">
      <c r="A123" s="8" t="s">
        <v>46</v>
      </c>
      <c r="B123" s="12" t="s">
        <v>27</v>
      </c>
      <c r="C123" s="12" t="s">
        <v>28</v>
      </c>
      <c r="D123" s="12">
        <v>2.0</v>
      </c>
      <c r="E123" s="12">
        <v>-413300.0</v>
      </c>
      <c r="F123" s="12">
        <v>-413300.0</v>
      </c>
      <c r="G123" s="20"/>
      <c r="H123" s="24" t="s">
        <v>49</v>
      </c>
    </row>
    <row r="124" hidden="1">
      <c r="A124" s="8" t="s">
        <v>48</v>
      </c>
      <c r="B124" s="12" t="s">
        <v>27</v>
      </c>
      <c r="C124" s="12" t="s">
        <v>28</v>
      </c>
      <c r="D124" s="12">
        <v>2.0</v>
      </c>
      <c r="E124" s="12">
        <f>E141*200/3500*(-1)</f>
        <v>-132000</v>
      </c>
      <c r="F124" s="12">
        <v>-322020.0</v>
      </c>
      <c r="G124" s="20"/>
      <c r="H124" s="24" t="s">
        <v>167</v>
      </c>
      <c r="J124" s="23">
        <f>J119</f>
        <v>2652000</v>
      </c>
    </row>
    <row r="125" hidden="1">
      <c r="A125" s="8" t="s">
        <v>51</v>
      </c>
      <c r="B125" s="12" t="s">
        <v>54</v>
      </c>
      <c r="C125" s="12" t="s">
        <v>28</v>
      </c>
      <c r="D125" s="12">
        <v>2.0</v>
      </c>
      <c r="E125" s="12">
        <v>-333333.33</v>
      </c>
      <c r="F125" s="12">
        <v>-676000.0</v>
      </c>
      <c r="G125" s="20"/>
    </row>
    <row r="126" hidden="1">
      <c r="A126" s="8" t="s">
        <v>52</v>
      </c>
      <c r="B126" s="12" t="s">
        <v>9</v>
      </c>
      <c r="C126" s="12" t="s">
        <v>28</v>
      </c>
      <c r="D126" s="12">
        <v>2.0</v>
      </c>
      <c r="E126" s="12">
        <v>-33333.3333333333</v>
      </c>
      <c r="F126" s="12">
        <v>-92550.0</v>
      </c>
      <c r="G126" s="20"/>
    </row>
    <row r="127" hidden="1">
      <c r="A127" s="8" t="s">
        <v>56</v>
      </c>
      <c r="B127" s="12" t="s">
        <v>58</v>
      </c>
      <c r="C127" s="12" t="s">
        <v>28</v>
      </c>
      <c r="D127" s="12">
        <v>2.0</v>
      </c>
      <c r="E127" s="12">
        <v>-130000.0</v>
      </c>
      <c r="F127" s="12">
        <v>-130000.0</v>
      </c>
      <c r="G127" s="20"/>
    </row>
    <row r="128" hidden="1">
      <c r="A128" s="8" t="s">
        <v>57</v>
      </c>
      <c r="B128" s="12" t="s">
        <v>9</v>
      </c>
      <c r="C128" s="12" t="s">
        <v>28</v>
      </c>
      <c r="D128" s="12">
        <v>2.0</v>
      </c>
      <c r="E128" s="12">
        <v>-320000.0</v>
      </c>
      <c r="F128" s="12">
        <v>-257700.0</v>
      </c>
      <c r="G128" s="20"/>
    </row>
    <row r="129" hidden="1">
      <c r="A129" s="8" t="s">
        <v>59</v>
      </c>
      <c r="B129" s="12" t="s">
        <v>58</v>
      </c>
      <c r="C129" s="12" t="s">
        <v>28</v>
      </c>
      <c r="D129" s="12">
        <v>2.0</v>
      </c>
      <c r="E129" s="12">
        <v>-50000.0</v>
      </c>
      <c r="F129" s="12">
        <v>0.0</v>
      </c>
      <c r="G129" s="20"/>
    </row>
    <row r="130" hidden="1">
      <c r="A130" s="8" t="s">
        <v>60</v>
      </c>
      <c r="B130" s="12" t="s">
        <v>58</v>
      </c>
      <c r="C130" s="12" t="s">
        <v>28</v>
      </c>
      <c r="D130" s="12">
        <v>2.0</v>
      </c>
      <c r="E130" s="12">
        <v>-100000.0</v>
      </c>
      <c r="F130" s="12">
        <v>0.0</v>
      </c>
      <c r="G130" s="20"/>
    </row>
    <row r="131" hidden="1">
      <c r="A131" s="8" t="s">
        <v>61</v>
      </c>
      <c r="B131" s="12" t="s">
        <v>54</v>
      </c>
      <c r="C131" s="12" t="s">
        <v>28</v>
      </c>
      <c r="D131" s="12">
        <v>2.0</v>
      </c>
      <c r="E131" s="12">
        <v>-170000.0</v>
      </c>
      <c r="F131" s="12">
        <v>-200000.0</v>
      </c>
      <c r="G131" s="20"/>
    </row>
    <row r="132" hidden="1">
      <c r="A132" s="8" t="s">
        <v>62</v>
      </c>
      <c r="B132" s="12" t="s">
        <v>66</v>
      </c>
      <c r="C132" s="12" t="s">
        <v>28</v>
      </c>
      <c r="D132" s="12">
        <v>2.0</v>
      </c>
      <c r="E132" s="12">
        <v>-5834.0</v>
      </c>
      <c r="F132" s="12">
        <v>-5325.0</v>
      </c>
      <c r="G132" s="20"/>
    </row>
    <row r="133" hidden="1">
      <c r="A133" s="8" t="s">
        <v>64</v>
      </c>
      <c r="B133" s="12" t="s">
        <v>54</v>
      </c>
      <c r="C133" s="12" t="s">
        <v>28</v>
      </c>
      <c r="D133" s="12">
        <v>2.0</v>
      </c>
      <c r="E133" s="12">
        <v>-4100.0</v>
      </c>
      <c r="F133" s="12">
        <v>-2024.4</v>
      </c>
      <c r="G133" s="20"/>
    </row>
    <row r="134" hidden="1">
      <c r="A134" s="8" t="s">
        <v>67</v>
      </c>
      <c r="B134" s="12" t="s">
        <v>54</v>
      </c>
      <c r="C134" s="12" t="s">
        <v>28</v>
      </c>
      <c r="D134" s="12">
        <v>2.0</v>
      </c>
      <c r="E134" s="12">
        <v>-123000.0</v>
      </c>
      <c r="F134" s="12">
        <v>-135300.0</v>
      </c>
      <c r="G134" s="20"/>
    </row>
    <row r="135" hidden="1">
      <c r="A135" s="8" t="s">
        <v>68</v>
      </c>
      <c r="B135" s="12" t="s">
        <v>66</v>
      </c>
      <c r="C135" s="12" t="s">
        <v>28</v>
      </c>
      <c r="D135" s="12">
        <v>2.0</v>
      </c>
      <c r="E135" s="12">
        <v>-17000.0</v>
      </c>
      <c r="F135" s="12">
        <v>-18500.0</v>
      </c>
      <c r="G135" s="20"/>
    </row>
    <row r="136" hidden="1">
      <c r="A136" s="8" t="s">
        <v>69</v>
      </c>
      <c r="B136" s="12" t="s">
        <v>66</v>
      </c>
      <c r="C136" s="12" t="s">
        <v>28</v>
      </c>
      <c r="D136" s="12">
        <v>2.0</v>
      </c>
      <c r="E136" s="12">
        <v>-41660.0</v>
      </c>
      <c r="F136" s="12">
        <v>-28264.0</v>
      </c>
      <c r="G136" s="20"/>
    </row>
    <row r="137" hidden="1">
      <c r="A137" s="8" t="s">
        <v>70</v>
      </c>
      <c r="B137" s="12" t="s">
        <v>58</v>
      </c>
      <c r="C137" s="12" t="s">
        <v>28</v>
      </c>
      <c r="D137" s="12">
        <v>2.0</v>
      </c>
      <c r="E137" s="12">
        <v>-375000.0</v>
      </c>
      <c r="F137" s="12">
        <v>-365000.0</v>
      </c>
      <c r="G137" s="20"/>
    </row>
    <row r="138" hidden="1">
      <c r="A138" s="8" t="s">
        <v>71</v>
      </c>
      <c r="B138" s="12" t="s">
        <v>54</v>
      </c>
      <c r="C138" s="12" t="s">
        <v>28</v>
      </c>
      <c r="D138" s="12">
        <v>2.0</v>
      </c>
      <c r="E138" s="12">
        <v>-23800.0</v>
      </c>
      <c r="F138" s="12">
        <v>-14540.0</v>
      </c>
      <c r="G138" s="20"/>
    </row>
    <row r="139" hidden="1">
      <c r="A139" s="8" t="s">
        <v>72</v>
      </c>
      <c r="B139" s="12" t="s">
        <v>58</v>
      </c>
      <c r="C139" s="12" t="s">
        <v>28</v>
      </c>
      <c r="D139" s="12">
        <v>2.0</v>
      </c>
      <c r="E139" s="20"/>
      <c r="F139" s="12">
        <v>0.0</v>
      </c>
      <c r="G139" s="20"/>
    </row>
    <row r="140" hidden="1">
      <c r="A140" s="8" t="s">
        <v>73</v>
      </c>
      <c r="B140" s="12" t="s">
        <v>54</v>
      </c>
      <c r="C140" s="12" t="s">
        <v>28</v>
      </c>
      <c r="D140" s="12">
        <v>2.0</v>
      </c>
      <c r="E140" s="12">
        <v>-400000.0</v>
      </c>
      <c r="F140" s="12">
        <v>-415000.0</v>
      </c>
      <c r="G140" s="20"/>
    </row>
    <row r="141" hidden="1">
      <c r="A141" s="8" t="s">
        <v>26</v>
      </c>
      <c r="B141" s="12" t="s">
        <v>27</v>
      </c>
      <c r="C141" s="12" t="s">
        <v>28</v>
      </c>
      <c r="D141" s="12">
        <v>2.0</v>
      </c>
      <c r="E141" s="193">
        <v>2310000.0</v>
      </c>
      <c r="F141" s="12">
        <v>5469920.0</v>
      </c>
      <c r="G141" s="20"/>
    </row>
    <row r="142" hidden="1">
      <c r="A142" s="82" t="s">
        <v>7</v>
      </c>
      <c r="B142" s="83" t="s">
        <v>9</v>
      </c>
      <c r="C142" s="83" t="s">
        <v>90</v>
      </c>
      <c r="D142" s="83">
        <v>2.0</v>
      </c>
      <c r="E142" s="83">
        <f>'Макшанова'!X37</f>
        <v>418000</v>
      </c>
      <c r="F142" s="83">
        <v>149625.0</v>
      </c>
      <c r="G142" s="86"/>
    </row>
    <row r="143" hidden="1">
      <c r="A143" s="82" t="s">
        <v>32</v>
      </c>
      <c r="B143" s="83" t="s">
        <v>9</v>
      </c>
      <c r="C143" s="83" t="s">
        <v>90</v>
      </c>
      <c r="D143" s="83">
        <v>2.0</v>
      </c>
      <c r="E143" s="86">
        <f>'Макшанова'!X39</f>
        <v>32000</v>
      </c>
      <c r="F143" s="83">
        <v>25600.0</v>
      </c>
      <c r="G143" s="86"/>
    </row>
    <row r="144" hidden="1">
      <c r="A144" s="82" t="s">
        <v>37</v>
      </c>
      <c r="B144" s="83" t="s">
        <v>9</v>
      </c>
      <c r="C144" s="83" t="s">
        <v>90</v>
      </c>
      <c r="D144" s="83">
        <v>2.0</v>
      </c>
      <c r="E144" s="86">
        <f>'Макшанова'!X43</f>
        <v>100000</v>
      </c>
      <c r="F144" s="83">
        <v>11925.0</v>
      </c>
      <c r="G144" s="86"/>
    </row>
    <row r="145" hidden="1">
      <c r="A145" s="82" t="s">
        <v>38</v>
      </c>
      <c r="B145" s="83" t="s">
        <v>9</v>
      </c>
      <c r="C145" s="83" t="s">
        <v>90</v>
      </c>
      <c r="D145" s="83">
        <v>2.0</v>
      </c>
      <c r="E145" s="86">
        <f>'Макшанова'!X57</f>
        <v>57000</v>
      </c>
      <c r="F145" s="83">
        <v>48600.0</v>
      </c>
      <c r="G145" s="86"/>
    </row>
    <row r="146" hidden="1">
      <c r="A146" s="82" t="s">
        <v>39</v>
      </c>
      <c r="B146" s="83" t="s">
        <v>9</v>
      </c>
      <c r="C146" s="83" t="s">
        <v>90</v>
      </c>
      <c r="D146" s="83">
        <v>2.0</v>
      </c>
      <c r="E146" s="86">
        <f>'Макшанова'!X79</f>
        <v>259600</v>
      </c>
      <c r="F146" s="83">
        <v>0.0</v>
      </c>
      <c r="G146" s="86"/>
    </row>
    <row r="147" hidden="1">
      <c r="A147" s="82" t="s">
        <v>40</v>
      </c>
      <c r="B147" s="83" t="s">
        <v>27</v>
      </c>
      <c r="C147" s="83" t="s">
        <v>90</v>
      </c>
      <c r="D147" s="83">
        <v>2.0</v>
      </c>
      <c r="E147" s="83">
        <f>(E169+E142)*0.35*(-1)</f>
        <v>-1651300</v>
      </c>
      <c r="F147" s="83">
        <v>-1160120.21</v>
      </c>
      <c r="G147" s="86"/>
      <c r="J147" s="23">
        <f>E142+E169</f>
        <v>4718000</v>
      </c>
    </row>
    <row r="148" hidden="1">
      <c r="A148" s="82" t="s">
        <v>41</v>
      </c>
      <c r="B148" s="83" t="s">
        <v>9</v>
      </c>
      <c r="C148" s="83" t="s">
        <v>90</v>
      </c>
      <c r="D148" s="83">
        <v>2.0</v>
      </c>
      <c r="E148" s="83">
        <f>E144*0.5*(-1)</f>
        <v>-50000</v>
      </c>
      <c r="F148" s="83">
        <v>-41943.85</v>
      </c>
      <c r="G148" s="86"/>
    </row>
    <row r="149" hidden="1">
      <c r="A149" s="82" t="s">
        <v>43</v>
      </c>
      <c r="B149" s="83" t="s">
        <v>27</v>
      </c>
      <c r="C149" s="83" t="s">
        <v>90</v>
      </c>
      <c r="D149" s="83">
        <v>2.0</v>
      </c>
      <c r="E149" s="83">
        <v>-100000.0</v>
      </c>
      <c r="F149" s="83">
        <v>-160000.0</v>
      </c>
      <c r="G149" s="86"/>
    </row>
    <row r="150" hidden="1">
      <c r="A150" s="82" t="s">
        <v>44</v>
      </c>
      <c r="B150" s="83" t="s">
        <v>27</v>
      </c>
      <c r="C150" s="83" t="s">
        <v>90</v>
      </c>
      <c r="D150" s="83">
        <v>2.0</v>
      </c>
      <c r="E150" s="83">
        <v>-50000.0</v>
      </c>
      <c r="F150" s="83">
        <v>-256400.0</v>
      </c>
      <c r="G150" s="86"/>
    </row>
    <row r="151" hidden="1">
      <c r="A151" s="82" t="s">
        <v>46</v>
      </c>
      <c r="B151" s="83" t="s">
        <v>27</v>
      </c>
      <c r="C151" s="83" t="s">
        <v>90</v>
      </c>
      <c r="D151" s="83">
        <v>2.0</v>
      </c>
      <c r="E151" s="83">
        <v>-450000.0</v>
      </c>
      <c r="F151" s="83">
        <v>-94660.0</v>
      </c>
      <c r="G151" s="86"/>
      <c r="H151" s="24" t="s">
        <v>49</v>
      </c>
    </row>
    <row r="152" hidden="1">
      <c r="A152" s="82" t="s">
        <v>48</v>
      </c>
      <c r="B152" s="83" t="s">
        <v>27</v>
      </c>
      <c r="C152" s="83" t="s">
        <v>90</v>
      </c>
      <c r="D152" s="83">
        <v>2.0</v>
      </c>
      <c r="E152" s="83">
        <f>E169*200/3500*(-1)</f>
        <v>-245714.2857</v>
      </c>
      <c r="F152" s="83">
        <v>-258700.0</v>
      </c>
      <c r="G152" s="86"/>
      <c r="J152" s="23">
        <f>J147</f>
        <v>4718000</v>
      </c>
    </row>
    <row r="153" hidden="1">
      <c r="A153" s="82" t="s">
        <v>51</v>
      </c>
      <c r="B153" s="83" t="s">
        <v>54</v>
      </c>
      <c r="C153" s="83" t="s">
        <v>90</v>
      </c>
      <c r="D153" s="83">
        <v>2.0</v>
      </c>
      <c r="E153" s="83">
        <v>-333333.33</v>
      </c>
      <c r="F153" s="83">
        <v>-439800.0</v>
      </c>
      <c r="G153" s="86"/>
    </row>
    <row r="154" hidden="1">
      <c r="A154" s="82" t="s">
        <v>52</v>
      </c>
      <c r="B154" s="83" t="s">
        <v>9</v>
      </c>
      <c r="C154" s="83" t="s">
        <v>90</v>
      </c>
      <c r="D154" s="83">
        <v>2.0</v>
      </c>
      <c r="E154" s="83">
        <v>-33333.3333333333</v>
      </c>
      <c r="F154" s="83">
        <v>-47720.0</v>
      </c>
      <c r="G154" s="86"/>
    </row>
    <row r="155" hidden="1">
      <c r="A155" s="82" t="s">
        <v>56</v>
      </c>
      <c r="B155" s="83" t="s">
        <v>58</v>
      </c>
      <c r="C155" s="83" t="s">
        <v>90</v>
      </c>
      <c r="D155" s="83">
        <v>2.0</v>
      </c>
      <c r="E155" s="83">
        <v>-130000.0</v>
      </c>
      <c r="F155" s="83">
        <v>-130000.0</v>
      </c>
      <c r="G155" s="86"/>
    </row>
    <row r="156" hidden="1">
      <c r="A156" s="82" t="s">
        <v>57</v>
      </c>
      <c r="B156" s="83" t="s">
        <v>9</v>
      </c>
      <c r="C156" s="83" t="s">
        <v>90</v>
      </c>
      <c r="D156" s="83">
        <v>2.0</v>
      </c>
      <c r="E156" s="83">
        <v>-320000.0</v>
      </c>
      <c r="F156" s="83">
        <v>-247700.0</v>
      </c>
      <c r="G156" s="86"/>
    </row>
    <row r="157" hidden="1">
      <c r="A157" s="82" t="s">
        <v>59</v>
      </c>
      <c r="B157" s="83" t="s">
        <v>58</v>
      </c>
      <c r="C157" s="83" t="s">
        <v>90</v>
      </c>
      <c r="D157" s="83">
        <v>2.0</v>
      </c>
      <c r="E157" s="83">
        <v>-100000.0</v>
      </c>
      <c r="F157" s="83">
        <v>0.0</v>
      </c>
      <c r="G157" s="86"/>
    </row>
    <row r="158" hidden="1">
      <c r="A158" s="82" t="s">
        <v>60</v>
      </c>
      <c r="B158" s="83" t="s">
        <v>58</v>
      </c>
      <c r="C158" s="83" t="s">
        <v>90</v>
      </c>
      <c r="D158" s="83">
        <v>2.0</v>
      </c>
      <c r="E158" s="83">
        <v>-100000.0</v>
      </c>
      <c r="F158" s="83">
        <v>-15000.0</v>
      </c>
      <c r="G158" s="86"/>
    </row>
    <row r="159" hidden="1">
      <c r="A159" s="82" t="s">
        <v>61</v>
      </c>
      <c r="B159" s="83" t="s">
        <v>54</v>
      </c>
      <c r="C159" s="83" t="s">
        <v>90</v>
      </c>
      <c r="D159" s="83">
        <v>2.0</v>
      </c>
      <c r="E159" s="83">
        <v>-170000.0</v>
      </c>
      <c r="F159" s="83">
        <v>-200000.0</v>
      </c>
      <c r="G159" s="86"/>
    </row>
    <row r="160" hidden="1">
      <c r="A160" s="82" t="s">
        <v>62</v>
      </c>
      <c r="B160" s="83" t="s">
        <v>66</v>
      </c>
      <c r="C160" s="83" t="s">
        <v>90</v>
      </c>
      <c r="D160" s="83">
        <v>2.0</v>
      </c>
      <c r="E160" s="83">
        <v>-5834.0</v>
      </c>
      <c r="F160" s="83">
        <v>-5834.0</v>
      </c>
      <c r="G160" s="86"/>
    </row>
    <row r="161" hidden="1">
      <c r="A161" s="82" t="s">
        <v>64</v>
      </c>
      <c r="B161" s="83" t="s">
        <v>54</v>
      </c>
      <c r="C161" s="83" t="s">
        <v>90</v>
      </c>
      <c r="D161" s="83">
        <v>2.0</v>
      </c>
      <c r="E161" s="83">
        <v>-4100.0</v>
      </c>
      <c r="F161" s="83">
        <v>0.0</v>
      </c>
      <c r="G161" s="86"/>
    </row>
    <row r="162" hidden="1">
      <c r="A162" s="82" t="s">
        <v>67</v>
      </c>
      <c r="B162" s="83" t="s">
        <v>54</v>
      </c>
      <c r="C162" s="83" t="s">
        <v>90</v>
      </c>
      <c r="D162" s="83">
        <v>2.0</v>
      </c>
      <c r="E162" s="83">
        <v>-123000.0</v>
      </c>
      <c r="F162" s="83">
        <v>-135307.42</v>
      </c>
      <c r="G162" s="86"/>
    </row>
    <row r="163" hidden="1">
      <c r="A163" s="82" t="s">
        <v>68</v>
      </c>
      <c r="B163" s="83" t="s">
        <v>66</v>
      </c>
      <c r="C163" s="83" t="s">
        <v>90</v>
      </c>
      <c r="D163" s="83">
        <v>2.0</v>
      </c>
      <c r="E163" s="83">
        <v>-17000.0</v>
      </c>
      <c r="F163" s="83">
        <v>-16500.0</v>
      </c>
      <c r="G163" s="86"/>
    </row>
    <row r="164" hidden="1">
      <c r="A164" s="82" t="s">
        <v>69</v>
      </c>
      <c r="B164" s="83" t="s">
        <v>66</v>
      </c>
      <c r="C164" s="83" t="s">
        <v>90</v>
      </c>
      <c r="D164" s="83">
        <v>2.0</v>
      </c>
      <c r="E164" s="83">
        <v>-41660.0</v>
      </c>
      <c r="F164" s="83">
        <v>-23965.0</v>
      </c>
      <c r="G164" s="86"/>
    </row>
    <row r="165" hidden="1">
      <c r="A165" s="82" t="s">
        <v>70</v>
      </c>
      <c r="B165" s="83" t="s">
        <v>58</v>
      </c>
      <c r="C165" s="83" t="s">
        <v>90</v>
      </c>
      <c r="D165" s="83">
        <v>2.0</v>
      </c>
      <c r="E165" s="83">
        <v>-375000.0</v>
      </c>
      <c r="F165" s="83">
        <v>-365000.0</v>
      </c>
      <c r="G165" s="86"/>
    </row>
    <row r="166" hidden="1">
      <c r="A166" s="82" t="s">
        <v>71</v>
      </c>
      <c r="B166" s="83" t="s">
        <v>54</v>
      </c>
      <c r="C166" s="83" t="s">
        <v>90</v>
      </c>
      <c r="D166" s="83">
        <v>2.0</v>
      </c>
      <c r="E166" s="83">
        <v>-23800.0</v>
      </c>
      <c r="F166" s="83">
        <v>-18598.0</v>
      </c>
      <c r="G166" s="86"/>
    </row>
    <row r="167" hidden="1">
      <c r="A167" s="82" t="s">
        <v>72</v>
      </c>
      <c r="B167" s="83" t="s">
        <v>58</v>
      </c>
      <c r="C167" s="83" t="s">
        <v>90</v>
      </c>
      <c r="D167" s="83">
        <v>2.0</v>
      </c>
      <c r="E167" s="86"/>
      <c r="F167" s="83">
        <v>0.0</v>
      </c>
      <c r="G167" s="86"/>
    </row>
    <row r="168" hidden="1">
      <c r="A168" s="82" t="s">
        <v>73</v>
      </c>
      <c r="B168" s="83" t="s">
        <v>54</v>
      </c>
      <c r="C168" s="83" t="s">
        <v>90</v>
      </c>
      <c r="D168" s="83">
        <v>2.0</v>
      </c>
      <c r="E168" s="83">
        <v>-400000.0</v>
      </c>
      <c r="F168" s="83">
        <v>-415000.0</v>
      </c>
      <c r="G168" s="86"/>
    </row>
    <row r="169" hidden="1">
      <c r="A169" s="82" t="s">
        <v>26</v>
      </c>
      <c r="B169" s="83" t="s">
        <v>27</v>
      </c>
      <c r="C169" s="83" t="s">
        <v>90</v>
      </c>
      <c r="D169" s="83">
        <v>2.0</v>
      </c>
      <c r="E169" s="24">
        <v>4300000.0</v>
      </c>
      <c r="F169" s="83">
        <v>4718575.0</v>
      </c>
      <c r="G169" s="86"/>
    </row>
    <row r="170">
      <c r="A170" s="8" t="s">
        <v>7</v>
      </c>
      <c r="B170" s="12" t="s">
        <v>9</v>
      </c>
      <c r="C170" s="12" t="s">
        <v>91</v>
      </c>
      <c r="D170" s="12">
        <v>3.0</v>
      </c>
      <c r="E170" s="12">
        <f>'Макшанова'!AA37</f>
        <v>456000</v>
      </c>
      <c r="F170" s="12">
        <v>517865.0</v>
      </c>
      <c r="G170" s="20"/>
    </row>
    <row r="171">
      <c r="A171" s="8" t="s">
        <v>32</v>
      </c>
      <c r="B171" s="12" t="s">
        <v>9</v>
      </c>
      <c r="C171" s="12" t="s">
        <v>91</v>
      </c>
      <c r="D171" s="12">
        <v>3.0</v>
      </c>
      <c r="E171" s="20">
        <f>'Макшанова'!AA39</f>
        <v>32000</v>
      </c>
      <c r="F171" s="12">
        <v>25600.0</v>
      </c>
      <c r="G171" s="20"/>
    </row>
    <row r="172">
      <c r="A172" s="8" t="s">
        <v>37</v>
      </c>
      <c r="B172" s="12" t="s">
        <v>9</v>
      </c>
      <c r="C172" s="12" t="s">
        <v>91</v>
      </c>
      <c r="D172" s="12">
        <v>3.0</v>
      </c>
      <c r="E172" s="12">
        <f>'Макшанова'!AA43</f>
        <v>215000</v>
      </c>
      <c r="F172" s="12">
        <v>130755.0</v>
      </c>
      <c r="G172" s="20"/>
    </row>
    <row r="173">
      <c r="A173" s="8" t="s">
        <v>38</v>
      </c>
      <c r="B173" s="12" t="s">
        <v>9</v>
      </c>
      <c r="C173" s="12" t="s">
        <v>91</v>
      </c>
      <c r="D173" s="12">
        <v>3.0</v>
      </c>
      <c r="E173" s="20">
        <f>'Макшанова'!AA57</f>
        <v>57000</v>
      </c>
      <c r="F173" s="12">
        <f>43200+19950</f>
        <v>63150</v>
      </c>
      <c r="G173" s="20"/>
    </row>
    <row r="174">
      <c r="A174" s="8" t="s">
        <v>39</v>
      </c>
      <c r="B174" s="12" t="s">
        <v>9</v>
      </c>
      <c r="C174" s="12" t="s">
        <v>91</v>
      </c>
      <c r="D174" s="12">
        <v>3.0</v>
      </c>
      <c r="E174" s="20">
        <f>'Макшанова'!AA79</f>
        <v>159600</v>
      </c>
      <c r="F174" s="20"/>
      <c r="G174" s="20"/>
    </row>
    <row r="175">
      <c r="A175" s="8" t="s">
        <v>40</v>
      </c>
      <c r="B175" s="12" t="s">
        <v>27</v>
      </c>
      <c r="C175" s="12" t="s">
        <v>91</v>
      </c>
      <c r="D175" s="12">
        <v>3.0</v>
      </c>
      <c r="E175" s="12">
        <f>(E197+E170)*0.35*(-1)</f>
        <v>-1260700</v>
      </c>
      <c r="F175" s="12">
        <v>-1271586.22</v>
      </c>
      <c r="G175" s="20"/>
      <c r="J175" s="23">
        <f>E170+E197</f>
        <v>3602000</v>
      </c>
    </row>
    <row r="176">
      <c r="A176" s="8" t="s">
        <v>41</v>
      </c>
      <c r="B176" s="12" t="s">
        <v>9</v>
      </c>
      <c r="C176" s="12" t="s">
        <v>91</v>
      </c>
      <c r="D176" s="12">
        <v>3.0</v>
      </c>
      <c r="E176" s="12">
        <f>E172*0.5*(-1)</f>
        <v>-107500</v>
      </c>
      <c r="F176" s="12">
        <v>-84590.99</v>
      </c>
      <c r="G176" s="20"/>
    </row>
    <row r="177">
      <c r="A177" s="8" t="s">
        <v>43</v>
      </c>
      <c r="B177" s="12" t="s">
        <v>27</v>
      </c>
      <c r="C177" s="12" t="s">
        <v>91</v>
      </c>
      <c r="D177" s="12">
        <v>3.0</v>
      </c>
      <c r="E177" s="12">
        <v>-100000.0</v>
      </c>
      <c r="F177" s="12">
        <v>-22200.0</v>
      </c>
      <c r="G177" s="20"/>
    </row>
    <row r="178">
      <c r="A178" s="8" t="s">
        <v>44</v>
      </c>
      <c r="B178" s="12" t="s">
        <v>27</v>
      </c>
      <c r="C178" s="12" t="s">
        <v>91</v>
      </c>
      <c r="D178" s="12">
        <v>3.0</v>
      </c>
      <c r="E178" s="12">
        <v>-50000.0</v>
      </c>
      <c r="F178" s="12">
        <v>-61950.0</v>
      </c>
      <c r="G178" s="20"/>
    </row>
    <row r="179">
      <c r="A179" s="8" t="s">
        <v>46</v>
      </c>
      <c r="B179" s="12" t="s">
        <v>27</v>
      </c>
      <c r="C179" s="12" t="s">
        <v>91</v>
      </c>
      <c r="D179" s="12">
        <v>3.0</v>
      </c>
      <c r="E179" s="12">
        <f>-42180-60000</f>
        <v>-102180</v>
      </c>
      <c r="F179" s="12">
        <v>-89100.0</v>
      </c>
      <c r="G179" s="20"/>
      <c r="H179" s="24" t="s">
        <v>49</v>
      </c>
    </row>
    <row r="180">
      <c r="A180" s="8" t="s">
        <v>48</v>
      </c>
      <c r="B180" s="12" t="s">
        <v>27</v>
      </c>
      <c r="C180" s="12" t="s">
        <v>91</v>
      </c>
      <c r="D180" s="12">
        <v>3.0</v>
      </c>
      <c r="E180" s="12">
        <f>E197*200/3500*(-1)</f>
        <v>-179771.4286</v>
      </c>
      <c r="F180" s="12">
        <v>-271440.0</v>
      </c>
      <c r="G180" s="20"/>
      <c r="J180" s="23">
        <f>J175</f>
        <v>3602000</v>
      </c>
    </row>
    <row r="181">
      <c r="A181" s="8" t="s">
        <v>51</v>
      </c>
      <c r="B181" s="12" t="s">
        <v>54</v>
      </c>
      <c r="C181" s="12" t="s">
        <v>91</v>
      </c>
      <c r="D181" s="12">
        <v>3.0</v>
      </c>
      <c r="E181" s="12">
        <v>-333333.33</v>
      </c>
      <c r="F181" s="12">
        <v>-543550.0</v>
      </c>
      <c r="G181" s="20"/>
    </row>
    <row r="182">
      <c r="A182" s="8" t="s">
        <v>52</v>
      </c>
      <c r="B182" s="12" t="s">
        <v>9</v>
      </c>
      <c r="C182" s="12" t="s">
        <v>91</v>
      </c>
      <c r="D182" s="12">
        <v>3.0</v>
      </c>
      <c r="E182" s="12">
        <v>-33333.3333333333</v>
      </c>
      <c r="F182" s="12">
        <v>-55500.0</v>
      </c>
      <c r="G182" s="20"/>
    </row>
    <row r="183">
      <c r="A183" s="8" t="s">
        <v>56</v>
      </c>
      <c r="B183" s="12" t="s">
        <v>58</v>
      </c>
      <c r="C183" s="12" t="s">
        <v>91</v>
      </c>
      <c r="D183" s="12">
        <v>3.0</v>
      </c>
      <c r="E183" s="12">
        <v>-130000.0</v>
      </c>
      <c r="F183" s="12">
        <v>-130000.0</v>
      </c>
      <c r="G183" s="20"/>
    </row>
    <row r="184">
      <c r="A184" s="8" t="s">
        <v>57</v>
      </c>
      <c r="B184" s="12" t="s">
        <v>9</v>
      </c>
      <c r="C184" s="12" t="s">
        <v>91</v>
      </c>
      <c r="D184" s="12">
        <v>3.0</v>
      </c>
      <c r="E184" s="12">
        <v>-320000.0</v>
      </c>
      <c r="F184" s="12">
        <v>-200000.0</v>
      </c>
      <c r="G184" s="20"/>
    </row>
    <row r="185">
      <c r="A185" s="8" t="s">
        <v>59</v>
      </c>
      <c r="B185" s="12" t="s">
        <v>58</v>
      </c>
      <c r="C185" s="12" t="s">
        <v>91</v>
      </c>
      <c r="D185" s="12">
        <v>3.0</v>
      </c>
      <c r="E185" s="12">
        <v>-200000.0</v>
      </c>
      <c r="F185" s="12">
        <v>-261450.0</v>
      </c>
      <c r="G185" s="20"/>
    </row>
    <row r="186">
      <c r="A186" s="8" t="s">
        <v>60</v>
      </c>
      <c r="B186" s="12" t="s">
        <v>58</v>
      </c>
      <c r="C186" s="12" t="s">
        <v>91</v>
      </c>
      <c r="D186" s="12">
        <v>3.0</v>
      </c>
      <c r="E186" s="12">
        <v>-150000.0</v>
      </c>
      <c r="F186" s="12">
        <v>-114080.0</v>
      </c>
      <c r="G186" s="20"/>
    </row>
    <row r="187">
      <c r="A187" s="8" t="s">
        <v>61</v>
      </c>
      <c r="B187" s="12" t="s">
        <v>54</v>
      </c>
      <c r="C187" s="12" t="s">
        <v>91</v>
      </c>
      <c r="D187" s="12">
        <v>3.0</v>
      </c>
      <c r="E187" s="12">
        <v>-170000.0</v>
      </c>
      <c r="F187" s="12">
        <v>-200000.0</v>
      </c>
      <c r="G187" s="20"/>
    </row>
    <row r="188">
      <c r="A188" s="8" t="s">
        <v>62</v>
      </c>
      <c r="B188" s="12" t="s">
        <v>66</v>
      </c>
      <c r="C188" s="12" t="s">
        <v>91</v>
      </c>
      <c r="D188" s="12">
        <v>3.0</v>
      </c>
      <c r="E188" s="12">
        <v>-5834.0</v>
      </c>
      <c r="F188" s="12">
        <v>-5325.0</v>
      </c>
      <c r="G188" s="20"/>
    </row>
    <row r="189">
      <c r="A189" s="8" t="s">
        <v>64</v>
      </c>
      <c r="B189" s="12" t="s">
        <v>54</v>
      </c>
      <c r="C189" s="12" t="s">
        <v>91</v>
      </c>
      <c r="D189" s="12">
        <v>3.0</v>
      </c>
      <c r="E189" s="12">
        <v>-4100.0</v>
      </c>
      <c r="F189" s="12">
        <v>-2780.0</v>
      </c>
      <c r="G189" s="20"/>
    </row>
    <row r="190">
      <c r="A190" s="8" t="s">
        <v>67</v>
      </c>
      <c r="B190" s="12" t="s">
        <v>54</v>
      </c>
      <c r="C190" s="12" t="s">
        <v>91</v>
      </c>
      <c r="D190" s="12">
        <v>3.0</v>
      </c>
      <c r="E190" s="12">
        <v>-123000.0</v>
      </c>
      <c r="F190" s="12">
        <v>-135307.42</v>
      </c>
      <c r="G190" s="20"/>
    </row>
    <row r="191">
      <c r="A191" s="8" t="s">
        <v>68</v>
      </c>
      <c r="B191" s="12" t="s">
        <v>66</v>
      </c>
      <c r="C191" s="12" t="s">
        <v>91</v>
      </c>
      <c r="D191" s="12">
        <v>3.0</v>
      </c>
      <c r="E191" s="12">
        <v>-17000.0</v>
      </c>
      <c r="F191" s="12">
        <v>-18500.0</v>
      </c>
      <c r="G191" s="20"/>
    </row>
    <row r="192">
      <c r="A192" s="8" t="s">
        <v>69</v>
      </c>
      <c r="B192" s="12" t="s">
        <v>66</v>
      </c>
      <c r="C192" s="12" t="s">
        <v>91</v>
      </c>
      <c r="D192" s="12">
        <v>3.0</v>
      </c>
      <c r="E192" s="12">
        <v>-116660.0</v>
      </c>
      <c r="F192" s="12">
        <v>-23975.0</v>
      </c>
      <c r="G192" s="20"/>
    </row>
    <row r="193">
      <c r="A193" s="8" t="s">
        <v>70</v>
      </c>
      <c r="B193" s="12" t="s">
        <v>58</v>
      </c>
      <c r="C193" s="12" t="s">
        <v>91</v>
      </c>
      <c r="D193" s="12">
        <v>3.0</v>
      </c>
      <c r="E193" s="12">
        <v>-375000.0</v>
      </c>
      <c r="F193" s="12">
        <v>-365000.0</v>
      </c>
      <c r="G193" s="20"/>
    </row>
    <row r="194">
      <c r="A194" s="8" t="s">
        <v>71</v>
      </c>
      <c r="B194" s="12" t="s">
        <v>54</v>
      </c>
      <c r="C194" s="12" t="s">
        <v>91</v>
      </c>
      <c r="D194" s="12">
        <v>3.0</v>
      </c>
      <c r="E194" s="12">
        <v>-23800.0</v>
      </c>
      <c r="F194" s="12">
        <v>-13084.0</v>
      </c>
      <c r="G194" s="20"/>
    </row>
    <row r="195">
      <c r="A195" s="8" t="s">
        <v>72</v>
      </c>
      <c r="B195" s="12" t="s">
        <v>58</v>
      </c>
      <c r="C195" s="12" t="s">
        <v>91</v>
      </c>
      <c r="D195" s="12">
        <v>3.0</v>
      </c>
      <c r="E195" s="20"/>
      <c r="F195" s="12">
        <v>-4100.0</v>
      </c>
      <c r="G195" s="20"/>
    </row>
    <row r="196">
      <c r="A196" s="8" t="s">
        <v>73</v>
      </c>
      <c r="B196" s="12" t="s">
        <v>54</v>
      </c>
      <c r="C196" s="12" t="s">
        <v>91</v>
      </c>
      <c r="D196" s="12">
        <v>3.0</v>
      </c>
      <c r="E196" s="12">
        <v>-400000.0</v>
      </c>
      <c r="F196" s="12">
        <v>-415000.0</v>
      </c>
      <c r="G196" s="20"/>
    </row>
    <row r="197">
      <c r="A197" s="8" t="s">
        <v>26</v>
      </c>
      <c r="B197" s="12" t="s">
        <v>27</v>
      </c>
      <c r="C197" s="12" t="s">
        <v>91</v>
      </c>
      <c r="D197" s="12">
        <v>3.0</v>
      </c>
      <c r="E197" s="193">
        <f>3096000+50000</f>
        <v>3146000</v>
      </c>
      <c r="F197" s="12">
        <v>4399920.0</v>
      </c>
      <c r="G197" s="12" t="s">
        <v>373</v>
      </c>
    </row>
    <row r="198" hidden="1">
      <c r="A198" s="2" t="s">
        <v>7</v>
      </c>
      <c r="B198" s="4" t="s">
        <v>9</v>
      </c>
      <c r="C198" s="4" t="s">
        <v>92</v>
      </c>
      <c r="D198" s="4">
        <v>3.0</v>
      </c>
      <c r="E198" s="4">
        <f>'Макшанова'!AD37</f>
        <v>532000</v>
      </c>
      <c r="F198" s="95"/>
      <c r="G198" s="95"/>
    </row>
    <row r="199" hidden="1">
      <c r="A199" s="2" t="s">
        <v>32</v>
      </c>
      <c r="B199" s="4" t="s">
        <v>9</v>
      </c>
      <c r="C199" s="4" t="s">
        <v>92</v>
      </c>
      <c r="D199" s="4">
        <v>3.0</v>
      </c>
      <c r="E199" s="95">
        <f>'Макшанова'!AD39</f>
        <v>38400</v>
      </c>
      <c r="F199" s="95"/>
      <c r="G199" s="95"/>
    </row>
    <row r="200" hidden="1">
      <c r="A200" s="2" t="s">
        <v>37</v>
      </c>
      <c r="B200" s="4" t="s">
        <v>9</v>
      </c>
      <c r="C200" s="4" t="s">
        <v>92</v>
      </c>
      <c r="D200" s="4">
        <v>3.0</v>
      </c>
      <c r="E200" s="95">
        <f>'Макшанова'!AD43</f>
        <v>160000</v>
      </c>
      <c r="F200" s="95"/>
      <c r="G200" s="95"/>
    </row>
    <row r="201" hidden="1">
      <c r="A201" s="2" t="s">
        <v>38</v>
      </c>
      <c r="B201" s="4" t="s">
        <v>9</v>
      </c>
      <c r="C201" s="4" t="s">
        <v>92</v>
      </c>
      <c r="D201" s="4">
        <v>3.0</v>
      </c>
      <c r="E201" s="95">
        <f>'Макшанова'!AD57</f>
        <v>57000</v>
      </c>
      <c r="F201" s="95"/>
      <c r="G201" s="95"/>
    </row>
    <row r="202" hidden="1">
      <c r="A202" s="82" t="s">
        <v>39</v>
      </c>
      <c r="B202" s="4" t="s">
        <v>9</v>
      </c>
      <c r="C202" s="4" t="s">
        <v>92</v>
      </c>
      <c r="D202" s="4">
        <v>3.0</v>
      </c>
      <c r="E202" s="95">
        <f>'Макшанова'!AD79</f>
        <v>159600</v>
      </c>
      <c r="F202" s="95"/>
      <c r="G202" s="95"/>
    </row>
    <row r="203" hidden="1">
      <c r="A203" s="2" t="s">
        <v>40</v>
      </c>
      <c r="B203" s="4" t="s">
        <v>27</v>
      </c>
      <c r="C203" s="4" t="s">
        <v>92</v>
      </c>
      <c r="D203" s="4">
        <v>3.0</v>
      </c>
      <c r="E203" s="83">
        <f>(E225+E198)*0.35*(-1)</f>
        <v>-1325100</v>
      </c>
      <c r="F203" s="95"/>
      <c r="G203" s="95"/>
      <c r="J203" s="23">
        <f>E198+E225</f>
        <v>3786000</v>
      </c>
    </row>
    <row r="204" hidden="1">
      <c r="A204" s="2" t="s">
        <v>41</v>
      </c>
      <c r="B204" s="4" t="s">
        <v>9</v>
      </c>
      <c r="C204" s="4" t="s">
        <v>92</v>
      </c>
      <c r="D204" s="4">
        <v>3.0</v>
      </c>
      <c r="E204" s="4">
        <f>E200*0.5*(-1)</f>
        <v>-80000</v>
      </c>
      <c r="F204" s="95"/>
      <c r="G204" s="95"/>
    </row>
    <row r="205" hidden="1">
      <c r="A205" s="2" t="s">
        <v>43</v>
      </c>
      <c r="B205" s="4" t="s">
        <v>27</v>
      </c>
      <c r="C205" s="4" t="s">
        <v>92</v>
      </c>
      <c r="D205" s="4">
        <v>3.0</v>
      </c>
      <c r="E205" s="83">
        <v>-70000.0</v>
      </c>
      <c r="F205" s="95"/>
      <c r="G205" s="95"/>
    </row>
    <row r="206" hidden="1">
      <c r="A206" s="2" t="s">
        <v>44</v>
      </c>
      <c r="B206" s="4" t="s">
        <v>27</v>
      </c>
      <c r="C206" s="4" t="s">
        <v>92</v>
      </c>
      <c r="D206" s="4">
        <v>3.0</v>
      </c>
      <c r="E206" s="83">
        <v>-50000.0</v>
      </c>
      <c r="F206" s="95"/>
      <c r="G206" s="95"/>
    </row>
    <row r="207" hidden="1">
      <c r="A207" s="2" t="s">
        <v>46</v>
      </c>
      <c r="B207" s="4" t="s">
        <v>27</v>
      </c>
      <c r="C207" s="4" t="s">
        <v>92</v>
      </c>
      <c r="D207" s="4">
        <v>3.0</v>
      </c>
      <c r="E207" s="83">
        <f>-42180-60000</f>
        <v>-102180</v>
      </c>
      <c r="F207" s="95"/>
      <c r="G207" s="95"/>
      <c r="H207" s="24" t="s">
        <v>49</v>
      </c>
    </row>
    <row r="208" hidden="1">
      <c r="A208" s="2" t="s">
        <v>48</v>
      </c>
      <c r="B208" s="4" t="s">
        <v>27</v>
      </c>
      <c r="C208" s="4" t="s">
        <v>92</v>
      </c>
      <c r="D208" s="4">
        <v>3.0</v>
      </c>
      <c r="E208" s="83">
        <f>E225*200/3800*(-1)</f>
        <v>-171263.1579</v>
      </c>
      <c r="F208" s="95"/>
      <c r="G208" s="95"/>
      <c r="H208" s="24" t="s">
        <v>425</v>
      </c>
      <c r="J208" s="23">
        <f>J203</f>
        <v>3786000</v>
      </c>
    </row>
    <row r="209" hidden="1">
      <c r="A209" s="2" t="s">
        <v>51</v>
      </c>
      <c r="B209" s="4" t="s">
        <v>54</v>
      </c>
      <c r="C209" s="4" t="s">
        <v>92</v>
      </c>
      <c r="D209" s="4">
        <v>3.0</v>
      </c>
      <c r="E209" s="4">
        <v>-333333.33</v>
      </c>
      <c r="F209" s="95"/>
      <c r="G209" s="95"/>
    </row>
    <row r="210" hidden="1">
      <c r="A210" s="2" t="s">
        <v>52</v>
      </c>
      <c r="B210" s="4" t="s">
        <v>9</v>
      </c>
      <c r="C210" s="4" t="s">
        <v>92</v>
      </c>
      <c r="D210" s="4">
        <v>3.0</v>
      </c>
      <c r="E210" s="4">
        <v>-33333.3333333333</v>
      </c>
      <c r="F210" s="95"/>
      <c r="G210" s="95"/>
    </row>
    <row r="211" hidden="1">
      <c r="A211" s="2" t="s">
        <v>56</v>
      </c>
      <c r="B211" s="4" t="s">
        <v>58</v>
      </c>
      <c r="C211" s="4" t="s">
        <v>92</v>
      </c>
      <c r="D211" s="4">
        <v>3.0</v>
      </c>
      <c r="E211" s="83">
        <v>-130000.0</v>
      </c>
      <c r="F211" s="95"/>
      <c r="G211" s="95"/>
    </row>
    <row r="212" hidden="1">
      <c r="A212" s="2" t="s">
        <v>57</v>
      </c>
      <c r="B212" s="4" t="s">
        <v>9</v>
      </c>
      <c r="C212" s="4" t="s">
        <v>92</v>
      </c>
      <c r="D212" s="4">
        <v>3.0</v>
      </c>
      <c r="E212" s="83">
        <v>-320000.0</v>
      </c>
      <c r="F212" s="95"/>
      <c r="G212" s="95"/>
    </row>
    <row r="213" hidden="1">
      <c r="A213" s="2" t="s">
        <v>59</v>
      </c>
      <c r="B213" s="4" t="s">
        <v>58</v>
      </c>
      <c r="C213" s="4" t="s">
        <v>92</v>
      </c>
      <c r="D213" s="4">
        <v>3.0</v>
      </c>
      <c r="E213" s="83">
        <v>-150000.0</v>
      </c>
      <c r="F213" s="95"/>
      <c r="G213" s="95"/>
    </row>
    <row r="214" hidden="1">
      <c r="A214" s="2" t="s">
        <v>60</v>
      </c>
      <c r="B214" s="4" t="s">
        <v>58</v>
      </c>
      <c r="C214" s="4" t="s">
        <v>92</v>
      </c>
      <c r="D214" s="4">
        <v>3.0</v>
      </c>
      <c r="E214" s="83">
        <v>-150000.0</v>
      </c>
      <c r="F214" s="95"/>
      <c r="G214" s="95"/>
    </row>
    <row r="215" hidden="1">
      <c r="A215" s="2" t="s">
        <v>61</v>
      </c>
      <c r="B215" s="4" t="s">
        <v>54</v>
      </c>
      <c r="C215" s="4" t="s">
        <v>92</v>
      </c>
      <c r="D215" s="4">
        <v>3.0</v>
      </c>
      <c r="E215" s="83">
        <v>-170000.0</v>
      </c>
      <c r="F215" s="95"/>
      <c r="G215" s="95"/>
    </row>
    <row r="216" hidden="1">
      <c r="A216" s="2" t="s">
        <v>62</v>
      </c>
      <c r="B216" s="4" t="s">
        <v>66</v>
      </c>
      <c r="C216" s="4" t="s">
        <v>92</v>
      </c>
      <c r="D216" s="4">
        <v>3.0</v>
      </c>
      <c r="E216" s="83">
        <v>-5834.0</v>
      </c>
      <c r="F216" s="95"/>
      <c r="G216" s="95"/>
    </row>
    <row r="217" hidden="1">
      <c r="A217" s="2" t="s">
        <v>64</v>
      </c>
      <c r="B217" s="4" t="s">
        <v>54</v>
      </c>
      <c r="C217" s="4" t="s">
        <v>92</v>
      </c>
      <c r="D217" s="4">
        <v>3.0</v>
      </c>
      <c r="E217" s="83">
        <v>-4100.0</v>
      </c>
      <c r="F217" s="95"/>
      <c r="G217" s="95"/>
    </row>
    <row r="218" hidden="1">
      <c r="A218" s="2" t="s">
        <v>67</v>
      </c>
      <c r="B218" s="4" t="s">
        <v>54</v>
      </c>
      <c r="C218" s="4" t="s">
        <v>92</v>
      </c>
      <c r="D218" s="4">
        <v>3.0</v>
      </c>
      <c r="E218" s="83">
        <v>-123000.0</v>
      </c>
      <c r="F218" s="95"/>
      <c r="G218" s="95"/>
    </row>
    <row r="219" hidden="1">
      <c r="A219" s="2" t="s">
        <v>68</v>
      </c>
      <c r="B219" s="4" t="s">
        <v>66</v>
      </c>
      <c r="C219" s="4" t="s">
        <v>92</v>
      </c>
      <c r="D219" s="4">
        <v>3.0</v>
      </c>
      <c r="E219" s="83">
        <v>-17000.0</v>
      </c>
      <c r="F219" s="95"/>
      <c r="G219" s="95"/>
    </row>
    <row r="220" hidden="1">
      <c r="A220" s="2" t="s">
        <v>69</v>
      </c>
      <c r="B220" s="4" t="s">
        <v>66</v>
      </c>
      <c r="C220" s="4" t="s">
        <v>92</v>
      </c>
      <c r="D220" s="4">
        <v>3.0</v>
      </c>
      <c r="E220" s="83">
        <v>-116660.0</v>
      </c>
      <c r="F220" s="95"/>
      <c r="G220" s="95"/>
    </row>
    <row r="221" hidden="1">
      <c r="A221" s="2" t="s">
        <v>70</v>
      </c>
      <c r="B221" s="4" t="s">
        <v>58</v>
      </c>
      <c r="C221" s="4" t="s">
        <v>92</v>
      </c>
      <c r="D221" s="4">
        <v>3.0</v>
      </c>
      <c r="E221" s="83">
        <v>-375000.0</v>
      </c>
      <c r="F221" s="95"/>
      <c r="G221" s="95"/>
    </row>
    <row r="222" hidden="1">
      <c r="A222" s="2" t="s">
        <v>71</v>
      </c>
      <c r="B222" s="4" t="s">
        <v>54</v>
      </c>
      <c r="C222" s="4" t="s">
        <v>92</v>
      </c>
      <c r="D222" s="4">
        <v>3.0</v>
      </c>
      <c r="E222" s="4">
        <v>-23800.0</v>
      </c>
      <c r="F222" s="95"/>
      <c r="G222" s="95"/>
    </row>
    <row r="223" hidden="1">
      <c r="A223" s="2" t="s">
        <v>72</v>
      </c>
      <c r="B223" s="4" t="s">
        <v>58</v>
      </c>
      <c r="C223" s="4" t="s">
        <v>92</v>
      </c>
      <c r="D223" s="4">
        <v>3.0</v>
      </c>
      <c r="E223" s="4">
        <v>-20000.0</v>
      </c>
      <c r="F223" s="95"/>
      <c r="G223" s="95"/>
    </row>
    <row r="224" hidden="1">
      <c r="A224" s="2" t="s">
        <v>73</v>
      </c>
      <c r="B224" s="4" t="s">
        <v>54</v>
      </c>
      <c r="C224" s="4" t="s">
        <v>92</v>
      </c>
      <c r="D224" s="4">
        <v>3.0</v>
      </c>
      <c r="E224" s="4">
        <v>-400000.0</v>
      </c>
      <c r="F224" s="95"/>
      <c r="G224" s="95"/>
    </row>
    <row r="225" hidden="1">
      <c r="A225" s="2" t="s">
        <v>26</v>
      </c>
      <c r="B225" s="4" t="s">
        <v>27</v>
      </c>
      <c r="C225" s="4" t="s">
        <v>92</v>
      </c>
      <c r="D225" s="4">
        <v>3.0</v>
      </c>
      <c r="E225" s="23">
        <f>3204000+50000</f>
        <v>3254000</v>
      </c>
      <c r="F225" s="95"/>
      <c r="G225" s="12" t="s">
        <v>373</v>
      </c>
    </row>
    <row r="226" hidden="1">
      <c r="A226" s="8" t="s">
        <v>7</v>
      </c>
      <c r="B226" s="12" t="s">
        <v>9</v>
      </c>
      <c r="C226" s="12" t="s">
        <v>93</v>
      </c>
      <c r="D226" s="12">
        <v>3.0</v>
      </c>
      <c r="E226" s="12">
        <f>'Макшанова'!AG37</f>
        <v>608000</v>
      </c>
      <c r="F226" s="20"/>
      <c r="G226" s="20"/>
    </row>
    <row r="227" hidden="1">
      <c r="A227" s="8" t="s">
        <v>32</v>
      </c>
      <c r="B227" s="12" t="s">
        <v>9</v>
      </c>
      <c r="C227" s="12" t="s">
        <v>93</v>
      </c>
      <c r="D227" s="12">
        <v>3.0</v>
      </c>
      <c r="E227" s="20">
        <f>'Макшанова'!AG39</f>
        <v>38400</v>
      </c>
      <c r="F227" s="20"/>
      <c r="G227" s="20"/>
    </row>
    <row r="228" hidden="1">
      <c r="A228" s="8" t="s">
        <v>37</v>
      </c>
      <c r="B228" s="12" t="s">
        <v>9</v>
      </c>
      <c r="C228" s="12" t="s">
        <v>93</v>
      </c>
      <c r="D228" s="12">
        <v>3.0</v>
      </c>
      <c r="E228" s="20">
        <f>'Макшанова'!AG43</f>
        <v>100000</v>
      </c>
      <c r="F228" s="20"/>
      <c r="G228" s="20"/>
    </row>
    <row r="229" hidden="1">
      <c r="A229" s="8" t="s">
        <v>38</v>
      </c>
      <c r="B229" s="12" t="s">
        <v>9</v>
      </c>
      <c r="C229" s="12" t="s">
        <v>93</v>
      </c>
      <c r="D229" s="12">
        <v>3.0</v>
      </c>
      <c r="E229" s="20">
        <f>'Макшанова'!AG57</f>
        <v>38000</v>
      </c>
      <c r="F229" s="20"/>
      <c r="G229" s="20"/>
    </row>
    <row r="230" hidden="1">
      <c r="A230" s="8" t="s">
        <v>39</v>
      </c>
      <c r="B230" s="12" t="s">
        <v>9</v>
      </c>
      <c r="C230" s="12" t="s">
        <v>93</v>
      </c>
      <c r="D230" s="12">
        <v>3.0</v>
      </c>
      <c r="E230" s="20">
        <f>'Макшанова'!AD79</f>
        <v>159600</v>
      </c>
      <c r="F230" s="20"/>
      <c r="G230" s="20"/>
    </row>
    <row r="231" hidden="1">
      <c r="A231" s="8" t="s">
        <v>40</v>
      </c>
      <c r="B231" s="12" t="s">
        <v>27</v>
      </c>
      <c r="C231" s="12" t="s">
        <v>93</v>
      </c>
      <c r="D231" s="12">
        <v>3.0</v>
      </c>
      <c r="E231" s="12">
        <f>(E253+E226)*0.35*(-1)</f>
        <v>-1551200</v>
      </c>
      <c r="F231" s="20"/>
      <c r="G231" s="20"/>
      <c r="J231" s="23">
        <f>E226+E253</f>
        <v>4432000</v>
      </c>
    </row>
    <row r="232" hidden="1">
      <c r="A232" s="8" t="s">
        <v>41</v>
      </c>
      <c r="B232" s="12" t="s">
        <v>9</v>
      </c>
      <c r="C232" s="12" t="s">
        <v>93</v>
      </c>
      <c r="D232" s="12">
        <v>3.0</v>
      </c>
      <c r="E232" s="12">
        <f>E228*0.5*(-1)</f>
        <v>-50000</v>
      </c>
      <c r="F232" s="20"/>
      <c r="G232" s="20"/>
    </row>
    <row r="233" hidden="1">
      <c r="A233" s="8" t="s">
        <v>43</v>
      </c>
      <c r="B233" s="12" t="s">
        <v>27</v>
      </c>
      <c r="C233" s="12" t="s">
        <v>93</v>
      </c>
      <c r="D233" s="12">
        <v>3.0</v>
      </c>
      <c r="E233" s="12">
        <v>-50000.0</v>
      </c>
      <c r="F233" s="20"/>
      <c r="G233" s="20"/>
    </row>
    <row r="234" hidden="1">
      <c r="A234" s="8" t="s">
        <v>44</v>
      </c>
      <c r="B234" s="12" t="s">
        <v>27</v>
      </c>
      <c r="C234" s="12" t="s">
        <v>93</v>
      </c>
      <c r="D234" s="12">
        <v>3.0</v>
      </c>
      <c r="E234" s="12">
        <v>-50000.0</v>
      </c>
      <c r="F234" s="20"/>
      <c r="G234" s="20"/>
    </row>
    <row r="235" hidden="1">
      <c r="A235" s="8" t="s">
        <v>46</v>
      </c>
      <c r="B235" s="12" t="s">
        <v>27</v>
      </c>
      <c r="C235" s="12" t="s">
        <v>93</v>
      </c>
      <c r="D235" s="12">
        <v>3.0</v>
      </c>
      <c r="E235" s="12">
        <f>-42180-60000</f>
        <v>-102180</v>
      </c>
      <c r="F235" s="20"/>
      <c r="G235" s="20"/>
      <c r="H235" s="24" t="s">
        <v>49</v>
      </c>
    </row>
    <row r="236" hidden="1">
      <c r="A236" s="8" t="s">
        <v>48</v>
      </c>
      <c r="B236" s="12" t="s">
        <v>27</v>
      </c>
      <c r="C236" s="12" t="s">
        <v>93</v>
      </c>
      <c r="D236" s="12">
        <v>3.0</v>
      </c>
      <c r="E236" s="12">
        <f>E253*200/3800*(-1)</f>
        <v>-201263.1579</v>
      </c>
      <c r="F236" s="20"/>
      <c r="G236" s="20"/>
      <c r="J236" s="23">
        <f>J231</f>
        <v>4432000</v>
      </c>
    </row>
    <row r="237" hidden="1">
      <c r="A237" s="8" t="s">
        <v>51</v>
      </c>
      <c r="B237" s="12" t="s">
        <v>54</v>
      </c>
      <c r="C237" s="12" t="s">
        <v>93</v>
      </c>
      <c r="D237" s="12">
        <v>3.0</v>
      </c>
      <c r="E237" s="12">
        <v>-333333.33</v>
      </c>
      <c r="F237" s="20"/>
      <c r="G237" s="20"/>
    </row>
    <row r="238" hidden="1">
      <c r="A238" s="8" t="s">
        <v>52</v>
      </c>
      <c r="B238" s="12" t="s">
        <v>9</v>
      </c>
      <c r="C238" s="12" t="s">
        <v>93</v>
      </c>
      <c r="D238" s="12">
        <v>3.0</v>
      </c>
      <c r="E238" s="12">
        <v>-33333.3333333333</v>
      </c>
      <c r="F238" s="20"/>
      <c r="G238" s="20"/>
    </row>
    <row r="239" hidden="1">
      <c r="A239" s="8" t="s">
        <v>56</v>
      </c>
      <c r="B239" s="12" t="s">
        <v>58</v>
      </c>
      <c r="C239" s="12" t="s">
        <v>93</v>
      </c>
      <c r="D239" s="12">
        <v>3.0</v>
      </c>
      <c r="E239" s="12">
        <v>-130000.0</v>
      </c>
      <c r="F239" s="20"/>
      <c r="G239" s="20"/>
    </row>
    <row r="240" hidden="1">
      <c r="A240" s="8" t="s">
        <v>57</v>
      </c>
      <c r="B240" s="12" t="s">
        <v>9</v>
      </c>
      <c r="C240" s="12" t="s">
        <v>93</v>
      </c>
      <c r="D240" s="12">
        <v>3.0</v>
      </c>
      <c r="E240" s="12">
        <v>-320000.0</v>
      </c>
      <c r="F240" s="20"/>
      <c r="G240" s="20"/>
    </row>
    <row r="241" hidden="1">
      <c r="A241" s="8" t="s">
        <v>59</v>
      </c>
      <c r="B241" s="12" t="s">
        <v>58</v>
      </c>
      <c r="C241" s="12" t="s">
        <v>93</v>
      </c>
      <c r="D241" s="12">
        <v>3.0</v>
      </c>
      <c r="E241" s="12">
        <v>-100000.0</v>
      </c>
      <c r="F241" s="20"/>
      <c r="G241" s="20"/>
    </row>
    <row r="242" hidden="1">
      <c r="A242" s="8" t="s">
        <v>60</v>
      </c>
      <c r="B242" s="12" t="s">
        <v>58</v>
      </c>
      <c r="C242" s="12" t="s">
        <v>93</v>
      </c>
      <c r="D242" s="12">
        <v>3.0</v>
      </c>
      <c r="E242" s="12">
        <v>-150000.0</v>
      </c>
      <c r="F242" s="20"/>
      <c r="G242" s="20"/>
    </row>
    <row r="243" hidden="1">
      <c r="A243" s="8" t="s">
        <v>61</v>
      </c>
      <c r="B243" s="12" t="s">
        <v>54</v>
      </c>
      <c r="C243" s="12" t="s">
        <v>93</v>
      </c>
      <c r="D243" s="12">
        <v>3.0</v>
      </c>
      <c r="E243" s="12">
        <v>-170000.0</v>
      </c>
      <c r="F243" s="20"/>
      <c r="G243" s="20"/>
    </row>
    <row r="244" hidden="1">
      <c r="A244" s="8" t="s">
        <v>62</v>
      </c>
      <c r="B244" s="12" t="s">
        <v>66</v>
      </c>
      <c r="C244" s="12" t="s">
        <v>93</v>
      </c>
      <c r="D244" s="12">
        <v>3.0</v>
      </c>
      <c r="E244" s="12">
        <v>-5834.0</v>
      </c>
      <c r="F244" s="20"/>
      <c r="G244" s="20"/>
    </row>
    <row r="245" hidden="1">
      <c r="A245" s="8" t="s">
        <v>64</v>
      </c>
      <c r="B245" s="12" t="s">
        <v>54</v>
      </c>
      <c r="C245" s="12" t="s">
        <v>93</v>
      </c>
      <c r="D245" s="12">
        <v>3.0</v>
      </c>
      <c r="E245" s="12">
        <v>-4100.0</v>
      </c>
      <c r="F245" s="20"/>
      <c r="G245" s="20"/>
    </row>
    <row r="246" hidden="1">
      <c r="A246" s="8" t="s">
        <v>67</v>
      </c>
      <c r="B246" s="12" t="s">
        <v>54</v>
      </c>
      <c r="C246" s="12" t="s">
        <v>93</v>
      </c>
      <c r="D246" s="12">
        <v>3.0</v>
      </c>
      <c r="E246" s="12">
        <v>-123000.0</v>
      </c>
      <c r="F246" s="20"/>
      <c r="G246" s="20"/>
    </row>
    <row r="247" hidden="1">
      <c r="A247" s="8" t="s">
        <v>68</v>
      </c>
      <c r="B247" s="12" t="s">
        <v>66</v>
      </c>
      <c r="C247" s="12" t="s">
        <v>93</v>
      </c>
      <c r="D247" s="12">
        <v>3.0</v>
      </c>
      <c r="E247" s="12">
        <v>-17000.0</v>
      </c>
      <c r="F247" s="20"/>
      <c r="G247" s="20"/>
    </row>
    <row r="248" hidden="1">
      <c r="A248" s="8" t="s">
        <v>69</v>
      </c>
      <c r="B248" s="12" t="s">
        <v>66</v>
      </c>
      <c r="C248" s="12" t="s">
        <v>93</v>
      </c>
      <c r="D248" s="12">
        <v>3.0</v>
      </c>
      <c r="E248" s="12">
        <v>-41660.0</v>
      </c>
      <c r="F248" s="20"/>
      <c r="G248" s="20"/>
    </row>
    <row r="249" hidden="1">
      <c r="A249" s="8" t="s">
        <v>70</v>
      </c>
      <c r="B249" s="12" t="s">
        <v>58</v>
      </c>
      <c r="C249" s="12" t="s">
        <v>93</v>
      </c>
      <c r="D249" s="12">
        <v>3.0</v>
      </c>
      <c r="E249" s="12">
        <v>-375000.0</v>
      </c>
      <c r="F249" s="20"/>
      <c r="G249" s="20"/>
    </row>
    <row r="250" hidden="1">
      <c r="A250" s="8" t="s">
        <v>71</v>
      </c>
      <c r="B250" s="12" t="s">
        <v>54</v>
      </c>
      <c r="C250" s="12" t="s">
        <v>93</v>
      </c>
      <c r="D250" s="12">
        <v>3.0</v>
      </c>
      <c r="E250" s="12">
        <v>-23800.0</v>
      </c>
      <c r="F250" s="20"/>
      <c r="G250" s="20"/>
    </row>
    <row r="251" hidden="1">
      <c r="A251" s="8" t="s">
        <v>72</v>
      </c>
      <c r="B251" s="12" t="s">
        <v>58</v>
      </c>
      <c r="C251" s="12" t="s">
        <v>93</v>
      </c>
      <c r="D251" s="12">
        <v>3.0</v>
      </c>
      <c r="E251" s="12">
        <v>-20000.0</v>
      </c>
      <c r="F251" s="20"/>
      <c r="G251" s="20"/>
    </row>
    <row r="252" hidden="1">
      <c r="A252" s="8" t="s">
        <v>73</v>
      </c>
      <c r="B252" s="12" t="s">
        <v>54</v>
      </c>
      <c r="C252" s="12" t="s">
        <v>93</v>
      </c>
      <c r="D252" s="12">
        <v>3.0</v>
      </c>
      <c r="E252" s="12">
        <v>-400000.0</v>
      </c>
      <c r="F252" s="20"/>
      <c r="G252" s="20"/>
    </row>
    <row r="253" hidden="1">
      <c r="A253" s="8" t="s">
        <v>26</v>
      </c>
      <c r="B253" s="12" t="s">
        <v>27</v>
      </c>
      <c r="C253" s="12" t="s">
        <v>93</v>
      </c>
      <c r="D253" s="12">
        <v>3.0</v>
      </c>
      <c r="E253" s="193">
        <f>3774000+50000</f>
        <v>3824000</v>
      </c>
      <c r="F253" s="20"/>
      <c r="G253" s="12" t="s">
        <v>373</v>
      </c>
    </row>
    <row r="254" hidden="1">
      <c r="A254" s="2" t="s">
        <v>7</v>
      </c>
      <c r="B254" s="4" t="s">
        <v>9</v>
      </c>
      <c r="C254" s="4" t="s">
        <v>94</v>
      </c>
      <c r="D254" s="4">
        <v>4.0</v>
      </c>
      <c r="E254" s="83">
        <f>'Макшанова'!AJ37</f>
        <v>722000</v>
      </c>
      <c r="F254" s="95"/>
      <c r="G254" s="95"/>
    </row>
    <row r="255" hidden="1">
      <c r="A255" s="2" t="s">
        <v>32</v>
      </c>
      <c r="B255" s="4" t="s">
        <v>9</v>
      </c>
      <c r="C255" s="4" t="s">
        <v>94</v>
      </c>
      <c r="D255" s="4">
        <v>4.0</v>
      </c>
      <c r="E255" s="86">
        <f>'Макшанова'!AJ39</f>
        <v>38400</v>
      </c>
      <c r="F255" s="95"/>
      <c r="G255" s="95"/>
    </row>
    <row r="256" hidden="1">
      <c r="A256" s="2" t="s">
        <v>37</v>
      </c>
      <c r="B256" s="4" t="s">
        <v>9</v>
      </c>
      <c r="C256" s="4" t="s">
        <v>94</v>
      </c>
      <c r="D256" s="4">
        <v>4.0</v>
      </c>
      <c r="E256" s="86">
        <f>'Макшанова'!AJ43</f>
        <v>100000</v>
      </c>
      <c r="F256" s="95"/>
      <c r="G256" s="95"/>
    </row>
    <row r="257" hidden="1">
      <c r="A257" s="2" t="s">
        <v>38</v>
      </c>
      <c r="B257" s="4" t="s">
        <v>9</v>
      </c>
      <c r="C257" s="4" t="s">
        <v>94</v>
      </c>
      <c r="D257" s="4">
        <v>4.0</v>
      </c>
      <c r="E257" s="86">
        <f>'Макшанова'!AJ57</f>
        <v>38000</v>
      </c>
      <c r="F257" s="95"/>
      <c r="G257" s="95"/>
    </row>
    <row r="258" hidden="1">
      <c r="A258" s="2" t="s">
        <v>39</v>
      </c>
      <c r="B258" s="4" t="s">
        <v>9</v>
      </c>
      <c r="C258" s="4" t="s">
        <v>94</v>
      </c>
      <c r="D258" s="4">
        <v>4.0</v>
      </c>
      <c r="E258" s="86">
        <f>'Макшанова'!AJ79</f>
        <v>123900</v>
      </c>
      <c r="F258" s="95"/>
      <c r="G258" s="95"/>
    </row>
    <row r="259" hidden="1">
      <c r="A259" s="2" t="s">
        <v>40</v>
      </c>
      <c r="B259" s="4" t="s">
        <v>27</v>
      </c>
      <c r="C259" s="4" t="s">
        <v>94</v>
      </c>
      <c r="D259" s="4">
        <v>4.0</v>
      </c>
      <c r="E259" s="83">
        <f>(E281+E254)*0.35*(-1)</f>
        <v>-1681750</v>
      </c>
      <c r="F259" s="95"/>
      <c r="G259" s="95"/>
      <c r="J259" s="23">
        <f>E254+E281</f>
        <v>4805000</v>
      </c>
    </row>
    <row r="260" hidden="1">
      <c r="A260" s="2" t="s">
        <v>41</v>
      </c>
      <c r="B260" s="4" t="s">
        <v>9</v>
      </c>
      <c r="C260" s="4" t="s">
        <v>94</v>
      </c>
      <c r="D260" s="4">
        <v>4.0</v>
      </c>
      <c r="E260" s="83">
        <f>E256*0.5*(-1)</f>
        <v>-50000</v>
      </c>
      <c r="F260" s="95"/>
      <c r="G260" s="95"/>
    </row>
    <row r="261" hidden="1">
      <c r="A261" s="2" t="s">
        <v>43</v>
      </c>
      <c r="B261" s="4" t="s">
        <v>27</v>
      </c>
      <c r="C261" s="4" t="s">
        <v>94</v>
      </c>
      <c r="D261" s="4">
        <v>4.0</v>
      </c>
      <c r="E261" s="83">
        <v>-30000.0</v>
      </c>
      <c r="F261" s="95"/>
      <c r="G261" s="95"/>
    </row>
    <row r="262" hidden="1">
      <c r="A262" s="2" t="s">
        <v>44</v>
      </c>
      <c r="B262" s="4" t="s">
        <v>27</v>
      </c>
      <c r="C262" s="4" t="s">
        <v>94</v>
      </c>
      <c r="D262" s="4">
        <v>4.0</v>
      </c>
      <c r="E262" s="83">
        <v>-50000.0</v>
      </c>
      <c r="F262" s="95"/>
      <c r="G262" s="95"/>
    </row>
    <row r="263" hidden="1">
      <c r="A263" s="2" t="s">
        <v>46</v>
      </c>
      <c r="B263" s="4" t="s">
        <v>27</v>
      </c>
      <c r="C263" s="4" t="s">
        <v>94</v>
      </c>
      <c r="D263" s="4">
        <v>4.0</v>
      </c>
      <c r="E263" s="83">
        <f>-42180-60000</f>
        <v>-102180</v>
      </c>
      <c r="F263" s="95"/>
      <c r="G263" s="95"/>
      <c r="H263" s="24" t="s">
        <v>49</v>
      </c>
    </row>
    <row r="264" hidden="1">
      <c r="A264" s="2" t="s">
        <v>48</v>
      </c>
      <c r="B264" s="4" t="s">
        <v>27</v>
      </c>
      <c r="C264" s="4" t="s">
        <v>94</v>
      </c>
      <c r="D264" s="4">
        <v>4.0</v>
      </c>
      <c r="E264" s="83">
        <f>E281*200/3800*(-1)</f>
        <v>-214894.7368</v>
      </c>
      <c r="F264" s="95"/>
      <c r="G264" s="95"/>
      <c r="J264" s="23">
        <f>J259</f>
        <v>4805000</v>
      </c>
    </row>
    <row r="265" hidden="1">
      <c r="A265" s="2" t="s">
        <v>51</v>
      </c>
      <c r="B265" s="4" t="s">
        <v>54</v>
      </c>
      <c r="C265" s="4" t="s">
        <v>94</v>
      </c>
      <c r="D265" s="4">
        <v>4.0</v>
      </c>
      <c r="E265" s="83">
        <v>-333333.33</v>
      </c>
      <c r="F265" s="95"/>
      <c r="G265" s="95"/>
    </row>
    <row r="266" hidden="1">
      <c r="A266" s="2" t="s">
        <v>52</v>
      </c>
      <c r="B266" s="4" t="s">
        <v>9</v>
      </c>
      <c r="C266" s="4" t="s">
        <v>94</v>
      </c>
      <c r="D266" s="4">
        <v>4.0</v>
      </c>
      <c r="E266" s="83">
        <v>-33333.3333333333</v>
      </c>
      <c r="F266" s="95"/>
      <c r="G266" s="95"/>
    </row>
    <row r="267" hidden="1">
      <c r="A267" s="2" t="s">
        <v>56</v>
      </c>
      <c r="B267" s="4" t="s">
        <v>58</v>
      </c>
      <c r="C267" s="4" t="s">
        <v>94</v>
      </c>
      <c r="D267" s="4">
        <v>4.0</v>
      </c>
      <c r="E267" s="83">
        <v>-130000.0</v>
      </c>
      <c r="F267" s="95"/>
      <c r="G267" s="95"/>
    </row>
    <row r="268" hidden="1">
      <c r="A268" s="2" t="s">
        <v>57</v>
      </c>
      <c r="B268" s="4" t="s">
        <v>9</v>
      </c>
      <c r="C268" s="4" t="s">
        <v>94</v>
      </c>
      <c r="D268" s="4">
        <v>4.0</v>
      </c>
      <c r="E268" s="83">
        <v>-320000.0</v>
      </c>
      <c r="F268" s="95"/>
      <c r="G268" s="95"/>
    </row>
    <row r="269" hidden="1">
      <c r="A269" s="2" t="s">
        <v>59</v>
      </c>
      <c r="B269" s="4" t="s">
        <v>58</v>
      </c>
      <c r="C269" s="4" t="s">
        <v>94</v>
      </c>
      <c r="D269" s="4">
        <v>4.0</v>
      </c>
      <c r="E269" s="83">
        <v>-50000.0</v>
      </c>
      <c r="F269" s="95"/>
      <c r="G269" s="95"/>
    </row>
    <row r="270" hidden="1">
      <c r="A270" s="2" t="s">
        <v>60</v>
      </c>
      <c r="B270" s="4" t="s">
        <v>58</v>
      </c>
      <c r="C270" s="4" t="s">
        <v>94</v>
      </c>
      <c r="D270" s="4">
        <v>4.0</v>
      </c>
      <c r="E270" s="83">
        <v>-150000.0</v>
      </c>
      <c r="F270" s="95"/>
      <c r="G270" s="95"/>
    </row>
    <row r="271" hidden="1">
      <c r="A271" s="2" t="s">
        <v>61</v>
      </c>
      <c r="B271" s="4" t="s">
        <v>54</v>
      </c>
      <c r="C271" s="4" t="s">
        <v>94</v>
      </c>
      <c r="D271" s="4">
        <v>4.0</v>
      </c>
      <c r="E271" s="83">
        <v>-170000.0</v>
      </c>
      <c r="F271" s="95"/>
      <c r="G271" s="95"/>
    </row>
    <row r="272" hidden="1">
      <c r="A272" s="2" t="s">
        <v>62</v>
      </c>
      <c r="B272" s="4" t="s">
        <v>66</v>
      </c>
      <c r="C272" s="4" t="s">
        <v>94</v>
      </c>
      <c r="D272" s="4">
        <v>4.0</v>
      </c>
      <c r="E272" s="83">
        <v>-5834.0</v>
      </c>
      <c r="F272" s="95"/>
      <c r="G272" s="95"/>
    </row>
    <row r="273" hidden="1">
      <c r="A273" s="2" t="s">
        <v>64</v>
      </c>
      <c r="B273" s="4" t="s">
        <v>54</v>
      </c>
      <c r="C273" s="4" t="s">
        <v>94</v>
      </c>
      <c r="D273" s="4">
        <v>4.0</v>
      </c>
      <c r="E273" s="83">
        <v>-4100.0</v>
      </c>
      <c r="F273" s="95"/>
      <c r="G273" s="95"/>
    </row>
    <row r="274" hidden="1">
      <c r="A274" s="2" t="s">
        <v>67</v>
      </c>
      <c r="B274" s="4" t="s">
        <v>54</v>
      </c>
      <c r="C274" s="4" t="s">
        <v>94</v>
      </c>
      <c r="D274" s="4">
        <v>4.0</v>
      </c>
      <c r="E274" s="83">
        <v>-123000.0</v>
      </c>
      <c r="F274" s="95"/>
      <c r="G274" s="95"/>
    </row>
    <row r="275" hidden="1">
      <c r="A275" s="2" t="s">
        <v>68</v>
      </c>
      <c r="B275" s="4" t="s">
        <v>66</v>
      </c>
      <c r="C275" s="4" t="s">
        <v>94</v>
      </c>
      <c r="D275" s="4">
        <v>4.0</v>
      </c>
      <c r="E275" s="83">
        <v>-17000.0</v>
      </c>
      <c r="F275" s="95"/>
      <c r="G275" s="95"/>
    </row>
    <row r="276" hidden="1">
      <c r="A276" s="2" t="s">
        <v>69</v>
      </c>
      <c r="B276" s="4" t="s">
        <v>66</v>
      </c>
      <c r="C276" s="4" t="s">
        <v>94</v>
      </c>
      <c r="D276" s="4">
        <v>4.0</v>
      </c>
      <c r="E276" s="83">
        <v>-41660.0</v>
      </c>
      <c r="F276" s="95"/>
      <c r="G276" s="95"/>
    </row>
    <row r="277" hidden="1">
      <c r="A277" s="2" t="s">
        <v>70</v>
      </c>
      <c r="B277" s="4" t="s">
        <v>58</v>
      </c>
      <c r="C277" s="4" t="s">
        <v>94</v>
      </c>
      <c r="D277" s="4">
        <v>4.0</v>
      </c>
      <c r="E277" s="83">
        <v>-375000.0</v>
      </c>
      <c r="F277" s="95"/>
      <c r="G277" s="95"/>
    </row>
    <row r="278" hidden="1">
      <c r="A278" s="2" t="s">
        <v>71</v>
      </c>
      <c r="B278" s="4" t="s">
        <v>54</v>
      </c>
      <c r="C278" s="4" t="s">
        <v>94</v>
      </c>
      <c r="D278" s="4">
        <v>4.0</v>
      </c>
      <c r="E278" s="83">
        <v>-23800.0</v>
      </c>
      <c r="F278" s="95"/>
      <c r="G278" s="95"/>
    </row>
    <row r="279" hidden="1">
      <c r="A279" s="2" t="s">
        <v>72</v>
      </c>
      <c r="B279" s="4" t="s">
        <v>58</v>
      </c>
      <c r="C279" s="4" t="s">
        <v>94</v>
      </c>
      <c r="D279" s="4">
        <v>4.0</v>
      </c>
      <c r="E279" s="83">
        <v>-20000.0</v>
      </c>
      <c r="F279" s="95"/>
      <c r="G279" s="95"/>
    </row>
    <row r="280" hidden="1">
      <c r="A280" s="2" t="s">
        <v>73</v>
      </c>
      <c r="B280" s="4" t="s">
        <v>54</v>
      </c>
      <c r="C280" s="4" t="s">
        <v>94</v>
      </c>
      <c r="D280" s="4">
        <v>4.0</v>
      </c>
      <c r="E280" s="83">
        <v>-400000.0</v>
      </c>
      <c r="F280" s="95"/>
      <c r="G280" s="95"/>
    </row>
    <row r="281" hidden="1">
      <c r="A281" s="82" t="s">
        <v>26</v>
      </c>
      <c r="B281" s="83" t="s">
        <v>27</v>
      </c>
      <c r="C281" s="4" t="s">
        <v>94</v>
      </c>
      <c r="D281" s="4">
        <v>4.0</v>
      </c>
      <c r="E281" s="23">
        <f>4033000+50000</f>
        <v>4083000</v>
      </c>
      <c r="F281" s="95"/>
      <c r="G281" s="12" t="s">
        <v>373</v>
      </c>
    </row>
    <row r="282" hidden="1">
      <c r="A282" s="8" t="s">
        <v>7</v>
      </c>
      <c r="B282" s="12" t="s">
        <v>9</v>
      </c>
      <c r="C282" s="12" t="s">
        <v>95</v>
      </c>
      <c r="D282" s="12">
        <v>4.0</v>
      </c>
      <c r="E282" s="12">
        <f>'Макшанова'!AM37</f>
        <v>756200</v>
      </c>
      <c r="F282" s="20"/>
      <c r="G282" s="20"/>
    </row>
    <row r="283" hidden="1">
      <c r="A283" s="8" t="s">
        <v>32</v>
      </c>
      <c r="B283" s="12" t="s">
        <v>9</v>
      </c>
      <c r="C283" s="12" t="s">
        <v>95</v>
      </c>
      <c r="D283" s="12">
        <v>4.0</v>
      </c>
      <c r="E283" s="20">
        <f>'Макшанова'!AM39</f>
        <v>38400</v>
      </c>
      <c r="F283" s="20"/>
      <c r="G283" s="20"/>
    </row>
    <row r="284" hidden="1">
      <c r="A284" s="8" t="s">
        <v>37</v>
      </c>
      <c r="B284" s="12" t="s">
        <v>9</v>
      </c>
      <c r="C284" s="12" t="s">
        <v>95</v>
      </c>
      <c r="D284" s="12">
        <v>4.0</v>
      </c>
      <c r="E284" s="20">
        <f>'Макшанова'!AM43</f>
        <v>155000</v>
      </c>
      <c r="F284" s="20"/>
      <c r="G284" s="20"/>
    </row>
    <row r="285" hidden="1">
      <c r="A285" s="8" t="s">
        <v>38</v>
      </c>
      <c r="B285" s="12" t="s">
        <v>9</v>
      </c>
      <c r="C285" s="12" t="s">
        <v>95</v>
      </c>
      <c r="D285" s="12">
        <v>4.0</v>
      </c>
      <c r="E285" s="20">
        <f>'Макшанова'!AM57</f>
        <v>38000</v>
      </c>
      <c r="F285" s="20"/>
      <c r="G285" s="20"/>
    </row>
    <row r="286" hidden="1">
      <c r="A286" s="8" t="s">
        <v>39</v>
      </c>
      <c r="B286" s="12" t="s">
        <v>9</v>
      </c>
      <c r="C286" s="12" t="s">
        <v>95</v>
      </c>
      <c r="D286" s="12">
        <v>4.0</v>
      </c>
      <c r="E286" s="20">
        <f>'Макшанова'!AM79</f>
        <v>285850</v>
      </c>
      <c r="F286" s="20"/>
      <c r="G286" s="20"/>
    </row>
    <row r="287" hidden="1">
      <c r="A287" s="8" t="s">
        <v>40</v>
      </c>
      <c r="B287" s="12" t="s">
        <v>27</v>
      </c>
      <c r="C287" s="12" t="s">
        <v>95</v>
      </c>
      <c r="D287" s="12">
        <v>4.0</v>
      </c>
      <c r="E287" s="12">
        <f>(E309+E282)*0.35*(-1)</f>
        <v>-1838270</v>
      </c>
      <c r="F287" s="20"/>
      <c r="G287" s="20"/>
      <c r="J287" s="23">
        <f>E282+E309</f>
        <v>5252200</v>
      </c>
    </row>
    <row r="288" hidden="1">
      <c r="A288" s="8" t="s">
        <v>41</v>
      </c>
      <c r="B288" s="12" t="s">
        <v>9</v>
      </c>
      <c r="C288" s="12" t="s">
        <v>95</v>
      </c>
      <c r="D288" s="12">
        <v>4.0</v>
      </c>
      <c r="E288" s="12">
        <f>E284*0.5*(-1)</f>
        <v>-77500</v>
      </c>
      <c r="F288" s="20"/>
      <c r="G288" s="20"/>
    </row>
    <row r="289" hidden="1">
      <c r="A289" s="8" t="s">
        <v>43</v>
      </c>
      <c r="B289" s="12" t="s">
        <v>27</v>
      </c>
      <c r="C289" s="12" t="s">
        <v>95</v>
      </c>
      <c r="D289" s="12">
        <v>4.0</v>
      </c>
      <c r="E289" s="12">
        <v>-20000.0</v>
      </c>
      <c r="F289" s="20"/>
      <c r="G289" s="20"/>
    </row>
    <row r="290" hidden="1">
      <c r="A290" s="8" t="s">
        <v>44</v>
      </c>
      <c r="B290" s="12" t="s">
        <v>27</v>
      </c>
      <c r="C290" s="12" t="s">
        <v>95</v>
      </c>
      <c r="D290" s="12">
        <v>4.0</v>
      </c>
      <c r="E290" s="12">
        <v>-50000.0</v>
      </c>
      <c r="F290" s="20"/>
      <c r="G290" s="20"/>
    </row>
    <row r="291" hidden="1">
      <c r="A291" s="8" t="s">
        <v>46</v>
      </c>
      <c r="B291" s="12" t="s">
        <v>27</v>
      </c>
      <c r="C291" s="12" t="s">
        <v>95</v>
      </c>
      <c r="D291" s="12">
        <v>4.0</v>
      </c>
      <c r="E291" s="12">
        <f>-42180-60000</f>
        <v>-102180</v>
      </c>
      <c r="F291" s="20"/>
      <c r="G291" s="20"/>
      <c r="H291" s="24" t="s">
        <v>49</v>
      </c>
    </row>
    <row r="292" hidden="1">
      <c r="A292" s="8" t="s">
        <v>48</v>
      </c>
      <c r="B292" s="12" t="s">
        <v>27</v>
      </c>
      <c r="C292" s="12" t="s">
        <v>95</v>
      </c>
      <c r="D292" s="12">
        <v>4.0</v>
      </c>
      <c r="E292" s="12">
        <f>E309*200/3800*(-1)</f>
        <v>-236631.5789</v>
      </c>
      <c r="F292" s="20"/>
      <c r="G292" s="20"/>
      <c r="J292" s="23">
        <f>J287</f>
        <v>5252200</v>
      </c>
    </row>
    <row r="293" hidden="1">
      <c r="A293" s="8" t="s">
        <v>51</v>
      </c>
      <c r="B293" s="12" t="s">
        <v>54</v>
      </c>
      <c r="C293" s="12" t="s">
        <v>95</v>
      </c>
      <c r="D293" s="12">
        <v>4.0</v>
      </c>
      <c r="E293" s="12">
        <v>-333333.33</v>
      </c>
      <c r="F293" s="20"/>
      <c r="G293" s="20"/>
    </row>
    <row r="294" hidden="1">
      <c r="A294" s="8" t="s">
        <v>52</v>
      </c>
      <c r="B294" s="12" t="s">
        <v>9</v>
      </c>
      <c r="C294" s="12" t="s">
        <v>95</v>
      </c>
      <c r="D294" s="12">
        <v>4.0</v>
      </c>
      <c r="E294" s="12">
        <v>-33333.3333333333</v>
      </c>
      <c r="F294" s="20"/>
      <c r="G294" s="20"/>
    </row>
    <row r="295" hidden="1">
      <c r="A295" s="8" t="s">
        <v>56</v>
      </c>
      <c r="B295" s="12" t="s">
        <v>58</v>
      </c>
      <c r="C295" s="12" t="s">
        <v>95</v>
      </c>
      <c r="D295" s="12">
        <v>4.0</v>
      </c>
      <c r="E295" s="12">
        <v>-130000.0</v>
      </c>
      <c r="F295" s="20"/>
      <c r="G295" s="20"/>
    </row>
    <row r="296" hidden="1">
      <c r="A296" s="8" t="s">
        <v>57</v>
      </c>
      <c r="B296" s="12" t="s">
        <v>9</v>
      </c>
      <c r="C296" s="12" t="s">
        <v>95</v>
      </c>
      <c r="D296" s="12">
        <v>4.0</v>
      </c>
      <c r="E296" s="12">
        <v>-320000.0</v>
      </c>
      <c r="F296" s="20"/>
      <c r="G296" s="20"/>
    </row>
    <row r="297" hidden="1">
      <c r="A297" s="8" t="s">
        <v>59</v>
      </c>
      <c r="B297" s="12" t="s">
        <v>58</v>
      </c>
      <c r="C297" s="12" t="s">
        <v>95</v>
      </c>
      <c r="D297" s="12">
        <v>4.0</v>
      </c>
      <c r="E297" s="12">
        <v>-50000.0</v>
      </c>
      <c r="F297" s="20"/>
      <c r="G297" s="20"/>
    </row>
    <row r="298" hidden="1">
      <c r="A298" s="8" t="s">
        <v>60</v>
      </c>
      <c r="B298" s="12" t="s">
        <v>58</v>
      </c>
      <c r="C298" s="12" t="s">
        <v>95</v>
      </c>
      <c r="D298" s="12">
        <v>4.0</v>
      </c>
      <c r="E298" s="12">
        <v>-150000.0</v>
      </c>
      <c r="F298" s="20"/>
      <c r="G298" s="20"/>
    </row>
    <row r="299" hidden="1">
      <c r="A299" s="8" t="s">
        <v>61</v>
      </c>
      <c r="B299" s="12" t="s">
        <v>54</v>
      </c>
      <c r="C299" s="12" t="s">
        <v>95</v>
      </c>
      <c r="D299" s="12">
        <v>4.0</v>
      </c>
      <c r="E299" s="12">
        <v>-170000.0</v>
      </c>
      <c r="F299" s="20"/>
      <c r="G299" s="20"/>
    </row>
    <row r="300" hidden="1">
      <c r="A300" s="8" t="s">
        <v>62</v>
      </c>
      <c r="B300" s="12" t="s">
        <v>66</v>
      </c>
      <c r="C300" s="12" t="s">
        <v>95</v>
      </c>
      <c r="D300" s="12">
        <v>4.0</v>
      </c>
      <c r="E300" s="12">
        <v>-5834.0</v>
      </c>
      <c r="F300" s="20"/>
      <c r="G300" s="20"/>
    </row>
    <row r="301" hidden="1">
      <c r="A301" s="8" t="s">
        <v>64</v>
      </c>
      <c r="B301" s="12" t="s">
        <v>54</v>
      </c>
      <c r="C301" s="12" t="s">
        <v>95</v>
      </c>
      <c r="D301" s="12">
        <v>4.0</v>
      </c>
      <c r="E301" s="12">
        <v>-4100.0</v>
      </c>
      <c r="F301" s="20"/>
      <c r="G301" s="20"/>
    </row>
    <row r="302" hidden="1">
      <c r="A302" s="8" t="s">
        <v>67</v>
      </c>
      <c r="B302" s="12" t="s">
        <v>54</v>
      </c>
      <c r="C302" s="12" t="s">
        <v>95</v>
      </c>
      <c r="D302" s="12">
        <v>4.0</v>
      </c>
      <c r="E302" s="12">
        <v>-123000.0</v>
      </c>
      <c r="F302" s="20"/>
      <c r="G302" s="20"/>
    </row>
    <row r="303" hidden="1">
      <c r="A303" s="8" t="s">
        <v>68</v>
      </c>
      <c r="B303" s="12" t="s">
        <v>66</v>
      </c>
      <c r="C303" s="12" t="s">
        <v>95</v>
      </c>
      <c r="D303" s="12">
        <v>4.0</v>
      </c>
      <c r="E303" s="12">
        <v>-17000.0</v>
      </c>
      <c r="F303" s="20"/>
      <c r="G303" s="20"/>
    </row>
    <row r="304" hidden="1">
      <c r="A304" s="8" t="s">
        <v>69</v>
      </c>
      <c r="B304" s="12" t="s">
        <v>66</v>
      </c>
      <c r="C304" s="12" t="s">
        <v>95</v>
      </c>
      <c r="D304" s="12">
        <v>4.0</v>
      </c>
      <c r="E304" s="12">
        <v>-41660.0</v>
      </c>
      <c r="F304" s="20"/>
      <c r="G304" s="20"/>
    </row>
    <row r="305" hidden="1">
      <c r="A305" s="8" t="s">
        <v>70</v>
      </c>
      <c r="B305" s="12" t="s">
        <v>58</v>
      </c>
      <c r="C305" s="12" t="s">
        <v>95</v>
      </c>
      <c r="D305" s="12">
        <v>4.0</v>
      </c>
      <c r="E305" s="12">
        <v>-375000.0</v>
      </c>
      <c r="F305" s="20"/>
      <c r="G305" s="20"/>
    </row>
    <row r="306" hidden="1">
      <c r="A306" s="8" t="s">
        <v>71</v>
      </c>
      <c r="B306" s="12" t="s">
        <v>54</v>
      </c>
      <c r="C306" s="12" t="s">
        <v>95</v>
      </c>
      <c r="D306" s="12">
        <v>4.0</v>
      </c>
      <c r="E306" s="12">
        <v>-23800.0</v>
      </c>
      <c r="F306" s="20"/>
      <c r="G306" s="20"/>
    </row>
    <row r="307" hidden="1">
      <c r="A307" s="8" t="s">
        <v>72</v>
      </c>
      <c r="B307" s="12" t="s">
        <v>58</v>
      </c>
      <c r="C307" s="12" t="s">
        <v>95</v>
      </c>
      <c r="D307" s="12">
        <v>4.0</v>
      </c>
      <c r="E307" s="12">
        <v>-20000.0</v>
      </c>
      <c r="F307" s="20"/>
      <c r="G307" s="20"/>
    </row>
    <row r="308" hidden="1">
      <c r="A308" s="8" t="s">
        <v>73</v>
      </c>
      <c r="B308" s="12" t="s">
        <v>54</v>
      </c>
      <c r="C308" s="12" t="s">
        <v>95</v>
      </c>
      <c r="D308" s="12">
        <v>4.0</v>
      </c>
      <c r="E308" s="12">
        <v>-400000.0</v>
      </c>
      <c r="F308" s="20"/>
      <c r="G308" s="20"/>
    </row>
    <row r="309" hidden="1">
      <c r="A309" s="8" t="s">
        <v>26</v>
      </c>
      <c r="B309" s="12" t="s">
        <v>27</v>
      </c>
      <c r="C309" s="12" t="s">
        <v>95</v>
      </c>
      <c r="D309" s="12">
        <v>4.0</v>
      </c>
      <c r="E309" s="193">
        <f>4446000+50000</f>
        <v>4496000</v>
      </c>
      <c r="F309" s="20"/>
      <c r="G309" s="12" t="s">
        <v>373</v>
      </c>
    </row>
    <row r="310" hidden="1">
      <c r="A310" s="82" t="s">
        <v>7</v>
      </c>
      <c r="B310" s="4" t="s">
        <v>9</v>
      </c>
      <c r="C310" s="4" t="s">
        <v>96</v>
      </c>
      <c r="D310" s="4">
        <v>4.0</v>
      </c>
      <c r="E310" s="83">
        <f>'Макшанова'!AP37</f>
        <v>798000</v>
      </c>
      <c r="F310" s="95"/>
      <c r="G310" s="95"/>
    </row>
    <row r="311" hidden="1">
      <c r="A311" s="2" t="s">
        <v>32</v>
      </c>
      <c r="B311" s="4" t="s">
        <v>9</v>
      </c>
      <c r="C311" s="4" t="s">
        <v>96</v>
      </c>
      <c r="D311" s="4">
        <v>4.0</v>
      </c>
      <c r="E311" s="86">
        <f>'Макшанова'!AP39</f>
        <v>38400</v>
      </c>
      <c r="F311" s="95"/>
      <c r="G311" s="95"/>
    </row>
    <row r="312" hidden="1">
      <c r="A312" s="2" t="s">
        <v>37</v>
      </c>
      <c r="B312" s="4" t="s">
        <v>9</v>
      </c>
      <c r="C312" s="4" t="s">
        <v>96</v>
      </c>
      <c r="D312" s="4">
        <v>4.0</v>
      </c>
      <c r="E312" s="86">
        <f>'Макшанова'!AP43</f>
        <v>160000</v>
      </c>
      <c r="F312" s="95"/>
      <c r="G312" s="95"/>
    </row>
    <row r="313" hidden="1">
      <c r="A313" s="82" t="s">
        <v>38</v>
      </c>
      <c r="B313" s="4" t="s">
        <v>9</v>
      </c>
      <c r="C313" s="4" t="s">
        <v>96</v>
      </c>
      <c r="D313" s="4">
        <v>4.0</v>
      </c>
      <c r="E313" s="86">
        <f>'Макшанова'!AP57</f>
        <v>57000</v>
      </c>
      <c r="F313" s="95"/>
      <c r="G313" s="95"/>
    </row>
    <row r="314" hidden="1">
      <c r="A314" s="82" t="s">
        <v>39</v>
      </c>
      <c r="B314" s="4" t="s">
        <v>9</v>
      </c>
      <c r="C314" s="4" t="s">
        <v>96</v>
      </c>
      <c r="D314" s="4">
        <v>4.0</v>
      </c>
      <c r="E314" s="86">
        <f>'Макшанова'!AP79</f>
        <v>309750</v>
      </c>
      <c r="F314" s="95"/>
      <c r="G314" s="95"/>
    </row>
    <row r="315" hidden="1">
      <c r="A315" s="82" t="s">
        <v>40</v>
      </c>
      <c r="B315" s="4" t="s">
        <v>27</v>
      </c>
      <c r="C315" s="4" t="s">
        <v>96</v>
      </c>
      <c r="D315" s="4">
        <v>4.0</v>
      </c>
      <c r="E315" s="83">
        <f>(E337+E310)*0.35*(-1)</f>
        <v>-2012500</v>
      </c>
      <c r="F315" s="95"/>
      <c r="G315" s="95"/>
      <c r="J315" s="23">
        <f>E310+E337</f>
        <v>5750000</v>
      </c>
    </row>
    <row r="316" hidden="1">
      <c r="A316" s="82" t="s">
        <v>41</v>
      </c>
      <c r="B316" s="4" t="s">
        <v>9</v>
      </c>
      <c r="C316" s="4" t="s">
        <v>96</v>
      </c>
      <c r="D316" s="4">
        <v>4.0</v>
      </c>
      <c r="E316" s="83">
        <f>E312*0.5*(-1)</f>
        <v>-80000</v>
      </c>
      <c r="F316" s="95"/>
      <c r="G316" s="95"/>
    </row>
    <row r="317" hidden="1">
      <c r="A317" s="82" t="s">
        <v>43</v>
      </c>
      <c r="B317" s="4" t="s">
        <v>27</v>
      </c>
      <c r="C317" s="4" t="s">
        <v>96</v>
      </c>
      <c r="D317" s="4">
        <v>4.0</v>
      </c>
      <c r="E317" s="83">
        <v>-20000.0</v>
      </c>
      <c r="F317" s="95"/>
      <c r="G317" s="95"/>
    </row>
    <row r="318" hidden="1">
      <c r="A318" s="82" t="s">
        <v>44</v>
      </c>
      <c r="B318" s="4" t="s">
        <v>27</v>
      </c>
      <c r="C318" s="4" t="s">
        <v>96</v>
      </c>
      <c r="D318" s="4">
        <v>4.0</v>
      </c>
      <c r="E318" s="83">
        <v>-50000.0</v>
      </c>
      <c r="F318" s="95"/>
      <c r="G318" s="95"/>
    </row>
    <row r="319" hidden="1">
      <c r="A319" s="82" t="s">
        <v>46</v>
      </c>
      <c r="B319" s="4" t="s">
        <v>27</v>
      </c>
      <c r="C319" s="4" t="s">
        <v>96</v>
      </c>
      <c r="D319" s="4">
        <v>4.0</v>
      </c>
      <c r="E319" s="83">
        <f>-42180-60000</f>
        <v>-102180</v>
      </c>
      <c r="F319" s="95"/>
      <c r="G319" s="95"/>
      <c r="H319" s="24" t="s">
        <v>49</v>
      </c>
    </row>
    <row r="320" hidden="1">
      <c r="A320" s="82" t="s">
        <v>48</v>
      </c>
      <c r="B320" s="4" t="s">
        <v>27</v>
      </c>
      <c r="C320" s="4" t="s">
        <v>96</v>
      </c>
      <c r="D320" s="4">
        <v>4.0</v>
      </c>
      <c r="E320" s="83">
        <f>E337*200/3800*(-1)</f>
        <v>-260631.5789</v>
      </c>
      <c r="F320" s="95"/>
      <c r="G320" s="95"/>
      <c r="J320" s="23">
        <f>J315</f>
        <v>5750000</v>
      </c>
    </row>
    <row r="321" hidden="1">
      <c r="A321" s="2" t="s">
        <v>51</v>
      </c>
      <c r="B321" s="4" t="s">
        <v>54</v>
      </c>
      <c r="C321" s="4" t="s">
        <v>96</v>
      </c>
      <c r="D321" s="4">
        <v>4.0</v>
      </c>
      <c r="E321" s="83">
        <v>-333333.33</v>
      </c>
      <c r="F321" s="95"/>
      <c r="G321" s="95"/>
    </row>
    <row r="322" hidden="1">
      <c r="A322" s="2" t="s">
        <v>52</v>
      </c>
      <c r="B322" s="4" t="s">
        <v>9</v>
      </c>
      <c r="C322" s="4" t="s">
        <v>96</v>
      </c>
      <c r="D322" s="4">
        <v>4.0</v>
      </c>
      <c r="E322" s="83">
        <v>-33333.3333333333</v>
      </c>
      <c r="F322" s="95"/>
      <c r="G322" s="95"/>
    </row>
    <row r="323" hidden="1">
      <c r="A323" s="2" t="s">
        <v>56</v>
      </c>
      <c r="B323" s="4" t="s">
        <v>58</v>
      </c>
      <c r="C323" s="4" t="s">
        <v>96</v>
      </c>
      <c r="D323" s="4">
        <v>4.0</v>
      </c>
      <c r="E323" s="83">
        <v>-130000.0</v>
      </c>
      <c r="F323" s="95"/>
      <c r="G323" s="95"/>
    </row>
    <row r="324" hidden="1">
      <c r="A324" s="2" t="s">
        <v>57</v>
      </c>
      <c r="B324" s="4" t="s">
        <v>9</v>
      </c>
      <c r="C324" s="4" t="s">
        <v>96</v>
      </c>
      <c r="D324" s="4">
        <v>4.0</v>
      </c>
      <c r="E324" s="83">
        <v>-320000.0</v>
      </c>
      <c r="F324" s="95"/>
      <c r="G324" s="95"/>
    </row>
    <row r="325" hidden="1">
      <c r="A325" s="2" t="s">
        <v>59</v>
      </c>
      <c r="B325" s="4" t="s">
        <v>58</v>
      </c>
      <c r="C325" s="4" t="s">
        <v>96</v>
      </c>
      <c r="D325" s="4">
        <v>4.0</v>
      </c>
      <c r="E325" s="83">
        <v>-50000.0</v>
      </c>
      <c r="F325" s="95"/>
      <c r="G325" s="95"/>
    </row>
    <row r="326" hidden="1">
      <c r="A326" s="2" t="s">
        <v>60</v>
      </c>
      <c r="B326" s="4" t="s">
        <v>58</v>
      </c>
      <c r="C326" s="4" t="s">
        <v>96</v>
      </c>
      <c r="D326" s="4">
        <v>4.0</v>
      </c>
      <c r="E326" s="83">
        <v>-150000.0</v>
      </c>
      <c r="F326" s="95"/>
      <c r="G326" s="95"/>
    </row>
    <row r="327" hidden="1">
      <c r="A327" s="2" t="s">
        <v>61</v>
      </c>
      <c r="B327" s="4" t="s">
        <v>54</v>
      </c>
      <c r="C327" s="4" t="s">
        <v>96</v>
      </c>
      <c r="D327" s="4">
        <v>4.0</v>
      </c>
      <c r="E327" s="83">
        <v>-170000.0</v>
      </c>
      <c r="F327" s="95"/>
      <c r="G327" s="95"/>
    </row>
    <row r="328" hidden="1">
      <c r="A328" s="2" t="s">
        <v>62</v>
      </c>
      <c r="B328" s="4" t="s">
        <v>66</v>
      </c>
      <c r="C328" s="4" t="s">
        <v>96</v>
      </c>
      <c r="D328" s="4">
        <v>4.0</v>
      </c>
      <c r="E328" s="83">
        <v>-5834.0</v>
      </c>
      <c r="F328" s="95"/>
      <c r="G328" s="95"/>
    </row>
    <row r="329" hidden="1">
      <c r="A329" s="2" t="s">
        <v>64</v>
      </c>
      <c r="B329" s="4" t="s">
        <v>54</v>
      </c>
      <c r="C329" s="4" t="s">
        <v>96</v>
      </c>
      <c r="D329" s="4">
        <v>4.0</v>
      </c>
      <c r="E329" s="83">
        <v>-4900.0</v>
      </c>
      <c r="F329" s="95"/>
      <c r="G329" s="95"/>
    </row>
    <row r="330" hidden="1">
      <c r="A330" s="2" t="s">
        <v>67</v>
      </c>
      <c r="B330" s="4" t="s">
        <v>54</v>
      </c>
      <c r="C330" s="4" t="s">
        <v>96</v>
      </c>
      <c r="D330" s="4">
        <v>4.0</v>
      </c>
      <c r="E330" s="83">
        <v>-123000.0</v>
      </c>
      <c r="F330" s="95"/>
      <c r="G330" s="95"/>
    </row>
    <row r="331" hidden="1">
      <c r="A331" s="2" t="s">
        <v>68</v>
      </c>
      <c r="B331" s="4" t="s">
        <v>66</v>
      </c>
      <c r="C331" s="4" t="s">
        <v>96</v>
      </c>
      <c r="D331" s="4">
        <v>4.0</v>
      </c>
      <c r="E331" s="83">
        <v>-17000.0</v>
      </c>
      <c r="F331" s="95"/>
      <c r="G331" s="95"/>
    </row>
    <row r="332" hidden="1">
      <c r="A332" s="2" t="s">
        <v>69</v>
      </c>
      <c r="B332" s="4" t="s">
        <v>66</v>
      </c>
      <c r="C332" s="4" t="s">
        <v>96</v>
      </c>
      <c r="D332" s="4">
        <v>4.0</v>
      </c>
      <c r="E332" s="83">
        <v>-41660.0</v>
      </c>
      <c r="F332" s="95"/>
      <c r="G332" s="95"/>
    </row>
    <row r="333" hidden="1">
      <c r="A333" s="2" t="s">
        <v>70</v>
      </c>
      <c r="B333" s="4" t="s">
        <v>58</v>
      </c>
      <c r="C333" s="4" t="s">
        <v>96</v>
      </c>
      <c r="D333" s="4">
        <v>4.0</v>
      </c>
      <c r="E333" s="83">
        <v>-375000.0</v>
      </c>
      <c r="F333" s="95"/>
      <c r="G333" s="95"/>
      <c r="H333" s="16"/>
    </row>
    <row r="334" hidden="1">
      <c r="A334" s="82" t="s">
        <v>71</v>
      </c>
      <c r="B334" s="4" t="s">
        <v>54</v>
      </c>
      <c r="C334" s="4" t="s">
        <v>96</v>
      </c>
      <c r="D334" s="4">
        <v>4.0</v>
      </c>
      <c r="E334" s="83">
        <v>-23800.0</v>
      </c>
      <c r="F334" s="95"/>
      <c r="G334" s="95"/>
    </row>
    <row r="335" hidden="1">
      <c r="A335" s="2" t="s">
        <v>72</v>
      </c>
      <c r="B335" s="4" t="s">
        <v>58</v>
      </c>
      <c r="C335" s="4" t="s">
        <v>96</v>
      </c>
      <c r="D335" s="4">
        <v>4.0</v>
      </c>
      <c r="E335" s="83">
        <v>-20000.0</v>
      </c>
      <c r="F335" s="95"/>
      <c r="G335" s="95"/>
    </row>
    <row r="336" hidden="1">
      <c r="A336" s="2" t="s">
        <v>73</v>
      </c>
      <c r="B336" s="4" t="s">
        <v>54</v>
      </c>
      <c r="C336" s="4" t="s">
        <v>96</v>
      </c>
      <c r="D336" s="4">
        <v>4.0</v>
      </c>
      <c r="E336" s="83">
        <v>-400000.0</v>
      </c>
      <c r="F336" s="95"/>
      <c r="G336" s="95"/>
    </row>
    <row r="337" hidden="1">
      <c r="A337" s="82" t="s">
        <v>26</v>
      </c>
      <c r="B337" s="83" t="s">
        <v>27</v>
      </c>
      <c r="C337" s="4" t="s">
        <v>96</v>
      </c>
      <c r="D337" s="4">
        <v>4.0</v>
      </c>
      <c r="E337" s="16">
        <f>4902000+50000</f>
        <v>4952000</v>
      </c>
      <c r="F337" s="95"/>
      <c r="G337" s="12" t="s">
        <v>373</v>
      </c>
    </row>
    <row r="338" hidden="1">
      <c r="E338" s="372"/>
    </row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</sheetData>
  <autoFilter ref="$A$1:$Z$980">
    <filterColumn colId="2">
      <filters>
        <filter val="07.Июль"/>
      </filters>
    </filterColumn>
    <sortState ref="A1:Z980">
      <sortCondition ref="C1:C980"/>
      <sortCondition ref="A1:A980"/>
    </sortState>
  </autoFilter>
  <customSheetViews>
    <customSheetView guid="{420620D8-A0FB-458D-8F15-6D8139DFE58C}" filter="1" showAutoFilter="1">
      <autoFilter ref="$A$1:$Z$337"/>
    </customSheetView>
    <customSheetView guid="{0E20448C-D7B2-4E99-BC22-6404041E02BF}" filter="1" showAutoFilter="1">
      <autoFilter ref="$A$1:$G$337"/>
    </customSheetView>
    <customSheetView guid="{3C4D2EB8-F5F8-4729-89BB-B2114112E09E}" filter="1" showAutoFilter="1">
      <autoFilter ref="$I$9"/>
    </customSheetView>
  </customSheetViews>
  <dataValidations>
    <dataValidation type="list" allowBlank="1" showErrorMessage="1" sqref="C2:C337">
      <formula1>"01.Январь,02.Февраль,03.Март,04.Апрель,05.Май,06.Июнь,07.Июль,08.Август,09.Сентябрь,10.Октябрь,11.Ноябрь,12.Декабрь"</formula1>
    </dataValidation>
    <dataValidation type="list" allowBlank="1" showErrorMessage="1" sqref="B2:B337">
      <formula1>"Макшанова Л.М.,Сысоев В.С.,Павлова Д.И.,Львов С.А.,Гатих П.С."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6.83" defaultRowHeight="15.0"/>
  <cols>
    <col customWidth="1" min="1" max="1" width="38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>
      <c r="A35" s="24" t="s">
        <v>79</v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>
      <c r="B70" s="207"/>
      <c r="C70" s="208"/>
    </row>
  </sheetData>
  <autoFilter ref="$A$3:$Z$31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6.83" defaultRowHeight="15.0"/>
  <sheetData>
    <row r="1">
      <c r="A1" s="14">
        <v>0.0</v>
      </c>
      <c r="B1" s="15" t="s">
        <v>0</v>
      </c>
      <c r="C1" s="15" t="s">
        <v>2</v>
      </c>
      <c r="D1" s="15" t="s">
        <v>3</v>
      </c>
      <c r="E1" s="15" t="s">
        <v>4</v>
      </c>
      <c r="F1" s="15" t="s">
        <v>5</v>
      </c>
      <c r="G1" s="19" t="s">
        <v>6</v>
      </c>
    </row>
    <row r="2">
      <c r="A2" s="21" t="s">
        <v>25</v>
      </c>
      <c r="B2" s="22" t="s">
        <v>27</v>
      </c>
      <c r="C2" s="22" t="s">
        <v>28</v>
      </c>
      <c r="D2" s="22">
        <v>2.0</v>
      </c>
      <c r="E2" s="22">
        <v>-928199.9999999999</v>
      </c>
      <c r="F2" s="22">
        <v>-1437760.02</v>
      </c>
      <c r="G2" s="25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0"/>
  <cols>
    <col customWidth="1" min="1" max="1" width="4.83"/>
  </cols>
  <sheetData>
    <row r="1">
      <c r="A1" s="45"/>
      <c r="B1" s="46" t="s">
        <v>8</v>
      </c>
      <c r="C1" s="47"/>
      <c r="D1" s="47"/>
      <c r="E1" s="47"/>
      <c r="F1" s="47"/>
      <c r="G1" s="47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55"/>
      <c r="AR1" s="45"/>
      <c r="AS1" s="45"/>
      <c r="AT1" s="55"/>
      <c r="AU1" s="45"/>
    </row>
    <row r="2">
      <c r="A2" s="45"/>
      <c r="B2" s="57"/>
      <c r="C2" s="58"/>
      <c r="D2" s="59"/>
      <c r="E2" s="59"/>
      <c r="F2" s="59"/>
      <c r="G2" s="59"/>
      <c r="H2" s="63" t="s">
        <v>11</v>
      </c>
      <c r="I2" s="65"/>
      <c r="J2" s="67"/>
      <c r="K2" s="69"/>
      <c r="L2" s="75" t="s">
        <v>12</v>
      </c>
      <c r="M2" s="65"/>
      <c r="N2" s="67"/>
      <c r="O2" s="78" t="s">
        <v>13</v>
      </c>
      <c r="P2" s="57"/>
      <c r="Q2" s="57"/>
      <c r="R2" s="78" t="s">
        <v>14</v>
      </c>
      <c r="S2" s="57"/>
      <c r="T2" s="57"/>
      <c r="U2" s="78" t="s">
        <v>15</v>
      </c>
      <c r="V2" s="57"/>
      <c r="W2" s="57"/>
      <c r="X2" s="78" t="s">
        <v>16</v>
      </c>
      <c r="Y2" s="57"/>
      <c r="Z2" s="57"/>
      <c r="AA2" s="78" t="s">
        <v>17</v>
      </c>
      <c r="AB2" s="57"/>
      <c r="AC2" s="57"/>
      <c r="AD2" s="78" t="s">
        <v>18</v>
      </c>
      <c r="AE2" s="57"/>
      <c r="AF2" s="57"/>
      <c r="AG2" s="78" t="s">
        <v>19</v>
      </c>
      <c r="AH2" s="57"/>
      <c r="AI2" s="57"/>
      <c r="AJ2" s="84" t="s">
        <v>20</v>
      </c>
      <c r="AK2" s="65"/>
      <c r="AL2" s="67"/>
      <c r="AM2" s="84" t="s">
        <v>21</v>
      </c>
      <c r="AN2" s="65"/>
      <c r="AO2" s="67"/>
      <c r="AP2" s="84" t="s">
        <v>22</v>
      </c>
      <c r="AQ2" s="69"/>
      <c r="AR2" s="55"/>
      <c r="AS2" s="89" t="s">
        <v>78</v>
      </c>
      <c r="AT2" s="91" t="s">
        <v>29</v>
      </c>
      <c r="AU2" s="93" t="s">
        <v>31</v>
      </c>
    </row>
    <row r="3">
      <c r="A3" s="45"/>
      <c r="B3" s="98"/>
      <c r="C3" s="101" t="s">
        <v>80</v>
      </c>
      <c r="D3" s="101" t="s">
        <v>81</v>
      </c>
      <c r="E3" s="103" t="s">
        <v>82</v>
      </c>
      <c r="F3" s="101" t="s">
        <v>83</v>
      </c>
      <c r="G3" s="101" t="s">
        <v>84</v>
      </c>
      <c r="H3" s="106" t="s">
        <v>4</v>
      </c>
      <c r="I3" s="106" t="s">
        <v>5</v>
      </c>
      <c r="J3" s="106" t="s">
        <v>6</v>
      </c>
      <c r="K3" s="106" t="s">
        <v>85</v>
      </c>
      <c r="L3" s="106" t="s">
        <v>4</v>
      </c>
      <c r="M3" s="106" t="s">
        <v>5</v>
      </c>
      <c r="N3" s="106" t="s">
        <v>6</v>
      </c>
      <c r="O3" s="106" t="s">
        <v>4</v>
      </c>
      <c r="P3" s="106" t="s">
        <v>5</v>
      </c>
      <c r="Q3" s="106" t="s">
        <v>6</v>
      </c>
      <c r="R3" s="106" t="s">
        <v>4</v>
      </c>
      <c r="S3" s="106" t="s">
        <v>5</v>
      </c>
      <c r="T3" s="106" t="s">
        <v>6</v>
      </c>
      <c r="U3" s="106" t="s">
        <v>4</v>
      </c>
      <c r="V3" s="106" t="s">
        <v>5</v>
      </c>
      <c r="W3" s="106" t="s">
        <v>6</v>
      </c>
      <c r="X3" s="106" t="s">
        <v>4</v>
      </c>
      <c r="Y3" s="106" t="s">
        <v>5</v>
      </c>
      <c r="Z3" s="106" t="s">
        <v>6</v>
      </c>
      <c r="AA3" s="106" t="s">
        <v>4</v>
      </c>
      <c r="AB3" s="106" t="s">
        <v>5</v>
      </c>
      <c r="AC3" s="106" t="s">
        <v>6</v>
      </c>
      <c r="AD3" s="106" t="s">
        <v>4</v>
      </c>
      <c r="AE3" s="106" t="s">
        <v>5</v>
      </c>
      <c r="AF3" s="106" t="s">
        <v>6</v>
      </c>
      <c r="AG3" s="106" t="s">
        <v>4</v>
      </c>
      <c r="AH3" s="106" t="s">
        <v>5</v>
      </c>
      <c r="AI3" s="106" t="s">
        <v>6</v>
      </c>
      <c r="AJ3" s="106" t="s">
        <v>4</v>
      </c>
      <c r="AK3" s="106" t="s">
        <v>5</v>
      </c>
      <c r="AL3" s="106" t="s">
        <v>6</v>
      </c>
      <c r="AM3" s="106" t="s">
        <v>4</v>
      </c>
      <c r="AN3" s="106" t="s">
        <v>5</v>
      </c>
      <c r="AO3" s="106" t="s">
        <v>6</v>
      </c>
      <c r="AP3" s="106" t="s">
        <v>4</v>
      </c>
      <c r="AQ3" s="106" t="s">
        <v>5</v>
      </c>
      <c r="AR3" s="106" t="s">
        <v>6</v>
      </c>
      <c r="AS3" s="111" t="s">
        <v>86</v>
      </c>
      <c r="AT3" s="112"/>
      <c r="AU3" s="113"/>
    </row>
    <row r="4">
      <c r="A4" s="45"/>
      <c r="B4" s="101" t="s">
        <v>33</v>
      </c>
      <c r="C4" s="98"/>
      <c r="D4" s="98"/>
      <c r="E4" s="98"/>
      <c r="F4" s="98"/>
      <c r="G4" s="98"/>
      <c r="H4" s="116">
        <f>H37</f>
        <v>0</v>
      </c>
      <c r="I4" s="116">
        <v>0.0</v>
      </c>
      <c r="J4" s="116">
        <v>0.0</v>
      </c>
      <c r="K4" s="117"/>
      <c r="L4" s="116" t="s">
        <v>97</v>
      </c>
      <c r="M4" s="116">
        <v>0.0</v>
      </c>
      <c r="N4" s="116">
        <v>0.0</v>
      </c>
      <c r="O4" s="116" t="s">
        <v>98</v>
      </c>
      <c r="P4" s="116">
        <v>0.0</v>
      </c>
      <c r="Q4" s="116">
        <v>0.0</v>
      </c>
      <c r="R4" s="116" t="s">
        <v>99</v>
      </c>
      <c r="S4" s="116">
        <v>0.0</v>
      </c>
      <c r="T4" s="116">
        <v>0.0</v>
      </c>
      <c r="U4" s="116" t="s">
        <v>100</v>
      </c>
      <c r="V4" s="116">
        <v>0.0</v>
      </c>
      <c r="W4" s="116">
        <v>0.0</v>
      </c>
      <c r="X4" s="116" t="s">
        <v>101</v>
      </c>
      <c r="Y4" s="116">
        <v>0.0</v>
      </c>
      <c r="Z4" s="116">
        <v>0.0</v>
      </c>
      <c r="AA4" s="116" t="s">
        <v>102</v>
      </c>
      <c r="AB4" s="116">
        <v>0.0</v>
      </c>
      <c r="AC4" s="116">
        <v>0.0</v>
      </c>
      <c r="AD4" s="116" t="s">
        <v>103</v>
      </c>
      <c r="AE4" s="116">
        <v>0.0</v>
      </c>
      <c r="AF4" s="116">
        <v>0.0</v>
      </c>
      <c r="AG4" s="116" t="s">
        <v>105</v>
      </c>
      <c r="AH4" s="116">
        <v>0.0</v>
      </c>
      <c r="AI4" s="116">
        <v>0.0</v>
      </c>
      <c r="AJ4" s="116" t="s">
        <v>106</v>
      </c>
      <c r="AK4" s="116">
        <v>0.0</v>
      </c>
      <c r="AL4" s="116">
        <v>0.0</v>
      </c>
      <c r="AM4" s="116" t="s">
        <v>107</v>
      </c>
      <c r="AN4" s="116">
        <v>0.0</v>
      </c>
      <c r="AO4" s="116">
        <v>0.0</v>
      </c>
      <c r="AP4" s="116" t="s">
        <v>108</v>
      </c>
      <c r="AQ4" s="116">
        <v>0.0</v>
      </c>
      <c r="AR4" s="112"/>
      <c r="AS4" s="111">
        <v>8670400.0</v>
      </c>
      <c r="AT4" s="121" t="s">
        <v>109</v>
      </c>
      <c r="AU4" s="93" t="s">
        <v>9</v>
      </c>
    </row>
    <row r="5">
      <c r="A5" s="124">
        <v>1.0</v>
      </c>
      <c r="B5" s="127" t="s">
        <v>110</v>
      </c>
      <c r="C5" s="127" t="s">
        <v>111</v>
      </c>
      <c r="D5" s="127" t="s">
        <v>111</v>
      </c>
      <c r="E5" s="129">
        <v>550.0</v>
      </c>
      <c r="F5" s="131">
        <v>3000.0</v>
      </c>
      <c r="G5" s="136">
        <v>0.0</v>
      </c>
      <c r="H5" s="139">
        <f>E5*F5</f>
        <v>1650000</v>
      </c>
      <c r="I5" s="140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44"/>
      <c r="AT5" s="112"/>
      <c r="AU5" s="113"/>
    </row>
    <row r="6">
      <c r="A6" s="124">
        <v>2.0</v>
      </c>
      <c r="B6" s="127" t="s">
        <v>114</v>
      </c>
      <c r="C6" s="127" t="s">
        <v>115</v>
      </c>
      <c r="D6" s="127" t="s">
        <v>111</v>
      </c>
      <c r="E6" s="129">
        <v>150.0</v>
      </c>
      <c r="F6" s="131">
        <v>2800.0</v>
      </c>
      <c r="G6" s="147" t="s">
        <v>116</v>
      </c>
      <c r="H6" s="139"/>
      <c r="I6" s="148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3"/>
    </row>
    <row r="7">
      <c r="A7" s="124">
        <v>3.0</v>
      </c>
      <c r="B7" s="127" t="s">
        <v>118</v>
      </c>
      <c r="C7" s="127" t="s">
        <v>119</v>
      </c>
      <c r="D7" s="152">
        <v>45231.0</v>
      </c>
      <c r="E7" s="129">
        <v>30.0</v>
      </c>
      <c r="F7" s="131">
        <v>3700.0</v>
      </c>
      <c r="G7" s="147" t="s">
        <v>120</v>
      </c>
      <c r="H7" s="139"/>
      <c r="I7" s="148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12"/>
      <c r="AG7" s="112"/>
      <c r="AH7" s="112"/>
      <c r="AI7" s="112"/>
      <c r="AJ7" s="112"/>
      <c r="AK7" s="112"/>
      <c r="AL7" s="112"/>
      <c r="AM7" s="112"/>
      <c r="AN7" s="112"/>
      <c r="AO7" s="112"/>
      <c r="AP7" s="112"/>
      <c r="AQ7" s="112"/>
      <c r="AR7" s="112"/>
      <c r="AS7" s="112"/>
      <c r="AT7" s="112"/>
      <c r="AU7" s="113"/>
    </row>
    <row r="8">
      <c r="A8" s="124">
        <v>4.0</v>
      </c>
      <c r="B8" s="127" t="s">
        <v>121</v>
      </c>
      <c r="C8" s="127" t="s">
        <v>122</v>
      </c>
      <c r="D8" s="161">
        <v>46000.0</v>
      </c>
      <c r="E8" s="129">
        <v>57.0</v>
      </c>
      <c r="F8" s="131">
        <v>3600.0</v>
      </c>
      <c r="G8" s="147" t="s">
        <v>111</v>
      </c>
      <c r="H8" s="139"/>
      <c r="I8" s="148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3"/>
    </row>
    <row r="9">
      <c r="A9" s="124">
        <v>5.0</v>
      </c>
      <c r="B9" s="127" t="s">
        <v>124</v>
      </c>
      <c r="C9" s="127" t="s">
        <v>125</v>
      </c>
      <c r="D9" s="152">
        <v>45498.0</v>
      </c>
      <c r="E9" s="129">
        <v>40.0</v>
      </c>
      <c r="F9" s="131">
        <v>3000.0</v>
      </c>
      <c r="G9" s="147" t="s">
        <v>126</v>
      </c>
      <c r="H9" s="139"/>
      <c r="I9" s="148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3"/>
    </row>
    <row r="10">
      <c r="A10" s="124">
        <v>6.0</v>
      </c>
      <c r="B10" s="127" t="s">
        <v>127</v>
      </c>
      <c r="C10" s="127" t="s">
        <v>128</v>
      </c>
      <c r="D10" s="152">
        <v>45805.0</v>
      </c>
      <c r="E10" s="129">
        <v>5.0</v>
      </c>
      <c r="F10" s="131">
        <v>3570.0</v>
      </c>
      <c r="G10" s="147" t="s">
        <v>129</v>
      </c>
      <c r="H10" s="139"/>
      <c r="I10" s="148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3"/>
    </row>
    <row r="11">
      <c r="A11" s="124">
        <v>7.0</v>
      </c>
      <c r="B11" s="127" t="s">
        <v>130</v>
      </c>
      <c r="C11" s="176"/>
      <c r="D11" s="176"/>
      <c r="E11" s="176"/>
      <c r="F11" s="131">
        <v>3300.0</v>
      </c>
      <c r="G11" s="147" t="s">
        <v>111</v>
      </c>
      <c r="H11" s="139"/>
      <c r="I11" s="148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3"/>
    </row>
    <row r="12">
      <c r="A12" s="45"/>
      <c r="B12" s="183" t="s">
        <v>132</v>
      </c>
      <c r="C12" s="183" t="s">
        <v>133</v>
      </c>
      <c r="D12" s="185">
        <v>45810.0</v>
      </c>
      <c r="E12" s="129">
        <v>1.0</v>
      </c>
      <c r="F12" s="131">
        <v>3300.0</v>
      </c>
      <c r="G12" s="187" t="s">
        <v>111</v>
      </c>
      <c r="H12" s="139"/>
      <c r="I12" s="148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3"/>
    </row>
    <row r="13">
      <c r="A13" s="45"/>
      <c r="B13" s="183" t="s">
        <v>134</v>
      </c>
      <c r="C13" s="183" t="s">
        <v>135</v>
      </c>
      <c r="D13" s="185">
        <v>45810.0</v>
      </c>
      <c r="E13" s="129">
        <v>1.0</v>
      </c>
      <c r="F13" s="131">
        <v>3300.0</v>
      </c>
      <c r="G13" s="187" t="s">
        <v>111</v>
      </c>
      <c r="H13" s="139"/>
      <c r="I13" s="148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3"/>
    </row>
    <row r="14">
      <c r="A14" s="45"/>
      <c r="B14" s="183" t="s">
        <v>136</v>
      </c>
      <c r="C14" s="183" t="s">
        <v>137</v>
      </c>
      <c r="D14" s="185">
        <v>45810.0</v>
      </c>
      <c r="E14" s="129">
        <v>1.0</v>
      </c>
      <c r="F14" s="131">
        <v>3300.0</v>
      </c>
      <c r="G14" s="187" t="s">
        <v>111</v>
      </c>
      <c r="H14" s="139"/>
      <c r="I14" s="148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3"/>
    </row>
    <row r="15">
      <c r="A15" s="45"/>
      <c r="B15" s="183" t="s">
        <v>139</v>
      </c>
      <c r="C15" s="183" t="s">
        <v>140</v>
      </c>
      <c r="D15" s="185">
        <v>45810.0</v>
      </c>
      <c r="E15" s="129">
        <v>1.0</v>
      </c>
      <c r="F15" s="131">
        <v>3300.0</v>
      </c>
      <c r="G15" s="187" t="s">
        <v>111</v>
      </c>
      <c r="H15" s="139"/>
      <c r="I15" s="148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3"/>
    </row>
    <row r="16">
      <c r="A16" s="45"/>
      <c r="B16" s="183" t="s">
        <v>142</v>
      </c>
      <c r="C16" s="183" t="s">
        <v>143</v>
      </c>
      <c r="D16" s="185">
        <v>45810.0</v>
      </c>
      <c r="E16" s="129">
        <v>1.0</v>
      </c>
      <c r="F16" s="131">
        <v>3300.0</v>
      </c>
      <c r="G16" s="187" t="s">
        <v>111</v>
      </c>
      <c r="H16" s="139"/>
      <c r="I16" s="148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  <c r="AU16" s="113"/>
    </row>
    <row r="17">
      <c r="A17" s="45"/>
      <c r="B17" s="183" t="s">
        <v>144</v>
      </c>
      <c r="C17" s="183" t="s">
        <v>145</v>
      </c>
      <c r="D17" s="185">
        <v>45810.0</v>
      </c>
      <c r="E17" s="129">
        <v>1.0</v>
      </c>
      <c r="F17" s="131">
        <v>3300.0</v>
      </c>
      <c r="G17" s="187" t="s">
        <v>111</v>
      </c>
      <c r="H17" s="139"/>
      <c r="I17" s="148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3"/>
    </row>
    <row r="18">
      <c r="A18" s="124">
        <v>8.0</v>
      </c>
      <c r="B18" s="127" t="s">
        <v>146</v>
      </c>
      <c r="C18" s="176"/>
      <c r="D18" s="176"/>
      <c r="E18" s="129">
        <v>20.0</v>
      </c>
      <c r="F18" s="131">
        <v>4140.0</v>
      </c>
      <c r="G18" s="187" t="s">
        <v>147</v>
      </c>
      <c r="H18" s="139"/>
      <c r="I18" s="203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3"/>
    </row>
    <row r="19">
      <c r="A19" s="124">
        <v>9.0</v>
      </c>
      <c r="B19" s="127" t="s">
        <v>148</v>
      </c>
      <c r="C19" s="176"/>
      <c r="D19" s="176"/>
      <c r="E19" s="129">
        <v>0.0</v>
      </c>
      <c r="F19" s="131">
        <v>4140.0</v>
      </c>
      <c r="G19" s="187" t="s">
        <v>147</v>
      </c>
      <c r="H19" s="139"/>
      <c r="I19" s="203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3"/>
    </row>
    <row r="20">
      <c r="A20" s="124">
        <v>10.0</v>
      </c>
      <c r="B20" s="127" t="s">
        <v>149</v>
      </c>
      <c r="C20" s="176"/>
      <c r="D20" s="176"/>
      <c r="E20" s="129">
        <v>0.0</v>
      </c>
      <c r="F20" s="209">
        <v>3600.0</v>
      </c>
      <c r="G20" s="210" t="s">
        <v>111</v>
      </c>
      <c r="H20" s="139"/>
      <c r="I20" s="203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3"/>
    </row>
    <row r="21">
      <c r="A21" s="124">
        <v>11.0</v>
      </c>
      <c r="B21" s="127" t="s">
        <v>151</v>
      </c>
      <c r="C21" s="176"/>
      <c r="D21" s="176"/>
      <c r="E21" s="129">
        <v>40.0</v>
      </c>
      <c r="F21" s="131">
        <v>3800.0</v>
      </c>
      <c r="G21" s="187" t="s">
        <v>152</v>
      </c>
      <c r="H21" s="139"/>
      <c r="I21" s="203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3"/>
    </row>
    <row r="22">
      <c r="A22" s="124">
        <v>12.0</v>
      </c>
      <c r="B22" s="223" t="s">
        <v>153</v>
      </c>
      <c r="C22" s="224"/>
      <c r="D22" s="224"/>
      <c r="E22" s="225">
        <v>10.0</v>
      </c>
      <c r="F22" s="226">
        <v>3000.0</v>
      </c>
      <c r="G22" s="228" t="s">
        <v>126</v>
      </c>
      <c r="H22" s="139"/>
      <c r="I22" s="203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3"/>
    </row>
    <row r="23">
      <c r="A23" s="124">
        <v>13.0</v>
      </c>
      <c r="B23" s="234" t="s">
        <v>155</v>
      </c>
      <c r="C23" s="236"/>
      <c r="D23" s="236"/>
      <c r="E23" s="238">
        <v>12.5</v>
      </c>
      <c r="F23" s="240">
        <v>3300.0</v>
      </c>
      <c r="G23" s="242" t="s">
        <v>111</v>
      </c>
      <c r="H23" s="139"/>
      <c r="I23" s="148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3"/>
    </row>
    <row r="24">
      <c r="A24" s="124">
        <v>14.0</v>
      </c>
      <c r="B24" s="245" t="s">
        <v>157</v>
      </c>
      <c r="C24" s="247"/>
      <c r="D24" s="247"/>
      <c r="E24" s="247"/>
      <c r="F24" s="249">
        <v>2700.0</v>
      </c>
      <c r="G24" s="251"/>
      <c r="H24" s="139"/>
      <c r="I24" s="253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3"/>
    </row>
    <row r="25">
      <c r="A25" s="124">
        <v>15.0</v>
      </c>
      <c r="B25" s="245" t="s">
        <v>158</v>
      </c>
      <c r="C25" s="247"/>
      <c r="D25" s="247"/>
      <c r="E25" s="260">
        <v>30.0</v>
      </c>
      <c r="F25" s="249">
        <v>3600.0</v>
      </c>
      <c r="G25" s="249" t="s">
        <v>111</v>
      </c>
      <c r="H25" s="139"/>
      <c r="I25" s="253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2"/>
      <c r="AS25" s="112"/>
      <c r="AT25" s="112"/>
      <c r="AU25" s="113"/>
    </row>
    <row r="26">
      <c r="A26" s="124">
        <v>16.0</v>
      </c>
      <c r="B26" s="264" t="s">
        <v>160</v>
      </c>
      <c r="C26" s="266"/>
      <c r="D26" s="266"/>
      <c r="E26" s="266"/>
      <c r="F26" s="268">
        <v>3300.0</v>
      </c>
      <c r="G26" s="268" t="s">
        <v>161</v>
      </c>
      <c r="H26" s="270"/>
      <c r="I26" s="272">
        <v>0.0</v>
      </c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3"/>
    </row>
    <row r="27">
      <c r="A27" s="124">
        <v>17.0</v>
      </c>
      <c r="B27" s="278" t="s">
        <v>162</v>
      </c>
      <c r="C27" s="280"/>
      <c r="D27" s="280"/>
      <c r="E27" s="280"/>
      <c r="F27" s="282"/>
      <c r="G27" s="268" t="s">
        <v>161</v>
      </c>
      <c r="H27" s="270"/>
      <c r="I27" s="283"/>
      <c r="J27" s="284"/>
      <c r="K27" s="285"/>
      <c r="L27" s="285"/>
      <c r="M27" s="285"/>
      <c r="N27" s="285"/>
      <c r="O27" s="285"/>
      <c r="P27" s="285"/>
      <c r="Q27" s="285"/>
      <c r="R27" s="285"/>
      <c r="S27" s="285"/>
      <c r="T27" s="285"/>
      <c r="U27" s="285"/>
      <c r="V27" s="285"/>
      <c r="W27" s="285"/>
      <c r="X27" s="285"/>
      <c r="Y27" s="285"/>
      <c r="Z27" s="285"/>
      <c r="AA27" s="285"/>
      <c r="AB27" s="285"/>
      <c r="AC27" s="285"/>
      <c r="AD27" s="285"/>
      <c r="AE27" s="285"/>
      <c r="AF27" s="285"/>
      <c r="AG27" s="285"/>
      <c r="AH27" s="285"/>
      <c r="AI27" s="285"/>
      <c r="AJ27" s="285"/>
      <c r="AK27" s="285"/>
      <c r="AL27" s="285"/>
      <c r="AM27" s="285"/>
      <c r="AN27" s="285"/>
      <c r="AO27" s="285"/>
      <c r="AP27" s="285"/>
      <c r="AQ27" s="285"/>
      <c r="AR27" s="285"/>
      <c r="AS27" s="285"/>
      <c r="AT27" s="285"/>
      <c r="AU27" s="289"/>
    </row>
    <row r="28">
      <c r="A28" s="124">
        <v>18.0</v>
      </c>
      <c r="B28" s="278" t="s">
        <v>164</v>
      </c>
      <c r="C28" s="280"/>
      <c r="D28" s="280"/>
      <c r="E28" s="290"/>
      <c r="F28" s="292"/>
      <c r="G28" s="294" t="s">
        <v>161</v>
      </c>
      <c r="H28" s="270"/>
      <c r="I28" s="296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3"/>
    </row>
    <row r="29">
      <c r="A29" s="301"/>
      <c r="B29" s="303" t="s">
        <v>166</v>
      </c>
      <c r="C29" s="305"/>
      <c r="D29" s="305"/>
      <c r="E29" s="305"/>
      <c r="F29" s="307"/>
      <c r="G29" s="307"/>
      <c r="H29" s="308"/>
      <c r="I29" s="310"/>
      <c r="J29" s="311"/>
      <c r="K29" s="311"/>
      <c r="L29" s="311"/>
      <c r="M29" s="311"/>
      <c r="N29" s="311"/>
      <c r="O29" s="311"/>
      <c r="P29" s="311"/>
      <c r="Q29" s="311"/>
      <c r="R29" s="311"/>
      <c r="S29" s="311"/>
      <c r="T29" s="311"/>
      <c r="U29" s="311"/>
      <c r="V29" s="311"/>
      <c r="W29" s="311"/>
      <c r="X29" s="311"/>
      <c r="Y29" s="311"/>
      <c r="Z29" s="311"/>
      <c r="AA29" s="311"/>
      <c r="AB29" s="311"/>
      <c r="AC29" s="311"/>
      <c r="AD29" s="311"/>
      <c r="AE29" s="311"/>
      <c r="AF29" s="311"/>
      <c r="AG29" s="311"/>
      <c r="AH29" s="311"/>
      <c r="AI29" s="311"/>
      <c r="AJ29" s="311"/>
      <c r="AK29" s="311"/>
      <c r="AL29" s="311"/>
      <c r="AM29" s="311"/>
      <c r="AN29" s="311"/>
      <c r="AO29" s="311"/>
      <c r="AP29" s="311"/>
      <c r="AQ29" s="311"/>
      <c r="AR29" s="311"/>
      <c r="AS29" s="312">
        <v>1.2E7</v>
      </c>
      <c r="AT29" s="312"/>
      <c r="AU29" s="113"/>
    </row>
    <row r="30">
      <c r="A30" s="124">
        <v>19.0</v>
      </c>
      <c r="B30" s="313" t="s">
        <v>173</v>
      </c>
      <c r="C30" s="314"/>
      <c r="D30" s="314"/>
      <c r="E30" s="315">
        <v>23.0</v>
      </c>
      <c r="F30" s="315">
        <v>3990.0</v>
      </c>
      <c r="G30" s="313" t="s">
        <v>182</v>
      </c>
      <c r="H30" s="315"/>
      <c r="I30" s="316"/>
      <c r="J30" s="112"/>
      <c r="K30" s="112"/>
      <c r="L30" s="112">
        <f>3950*18</f>
        <v>71100</v>
      </c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12"/>
      <c r="AM30" s="112"/>
      <c r="AN30" s="112"/>
      <c r="AO30" s="112"/>
      <c r="AP30" s="112"/>
      <c r="AQ30" s="112"/>
      <c r="AR30" s="112"/>
      <c r="AS30" s="112">
        <f t="shared" ref="AS30:AS36" si="1">I30+L30+O30+R30+U30+X30+AA30+AD30+AG30+AJ30+AM30+AP30</f>
        <v>71100</v>
      </c>
      <c r="AT30" s="317"/>
      <c r="AU30" s="93" t="s">
        <v>9</v>
      </c>
    </row>
    <row r="31">
      <c r="A31" s="124"/>
      <c r="B31" s="313" t="s">
        <v>196</v>
      </c>
      <c r="C31" s="314"/>
      <c r="D31" s="314"/>
      <c r="E31" s="315">
        <v>18.0</v>
      </c>
      <c r="F31" s="315">
        <v>3990.0</v>
      </c>
      <c r="G31" s="313"/>
      <c r="H31" s="315"/>
      <c r="I31" s="316"/>
      <c r="J31" s="112"/>
      <c r="K31" s="112"/>
      <c r="L31" s="112">
        <f t="shared" ref="L31:L32" si="2">E31*F31</f>
        <v>71820</v>
      </c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>
        <f t="shared" si="1"/>
        <v>71820</v>
      </c>
      <c r="AT31" s="317"/>
      <c r="AU31" s="93"/>
    </row>
    <row r="32">
      <c r="A32" s="124">
        <v>20.0</v>
      </c>
      <c r="B32" s="318" t="s">
        <v>211</v>
      </c>
      <c r="C32" s="319"/>
      <c r="D32" s="319"/>
      <c r="E32" s="320">
        <v>5.0</v>
      </c>
      <c r="F32" s="315">
        <v>3990.0</v>
      </c>
      <c r="G32" s="313" t="s">
        <v>182</v>
      </c>
      <c r="H32" s="315"/>
      <c r="I32" s="316"/>
      <c r="J32" s="112"/>
      <c r="K32" s="112"/>
      <c r="L32" s="112">
        <f t="shared" si="2"/>
        <v>19950</v>
      </c>
      <c r="M32" s="121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12"/>
      <c r="AM32" s="112"/>
      <c r="AN32" s="112"/>
      <c r="AO32" s="112"/>
      <c r="AP32" s="112"/>
      <c r="AQ32" s="112"/>
      <c r="AR32" s="112"/>
      <c r="AS32" s="112">
        <f t="shared" si="1"/>
        <v>19950</v>
      </c>
      <c r="AT32" s="317"/>
      <c r="AU32" s="113"/>
    </row>
    <row r="33">
      <c r="A33" s="124">
        <v>21.0</v>
      </c>
      <c r="B33" s="318" t="s">
        <v>221</v>
      </c>
      <c r="C33" s="319"/>
      <c r="D33" s="319"/>
      <c r="E33" s="321">
        <f>25</f>
        <v>25</v>
      </c>
      <c r="F33" s="322">
        <v>3990.0</v>
      </c>
      <c r="G33" s="323"/>
      <c r="H33" s="323"/>
      <c r="I33" s="325"/>
      <c r="J33" s="112"/>
      <c r="K33" s="112"/>
      <c r="L33" s="112"/>
      <c r="M33" s="112"/>
      <c r="N33" s="112"/>
      <c r="O33" s="121">
        <f t="shared" ref="O33:O36" si="4">E33*F33</f>
        <v>99750</v>
      </c>
      <c r="P33" s="112"/>
      <c r="Q33" s="112"/>
      <c r="R33" s="121"/>
      <c r="S33" s="121">
        <f t="shared" ref="S33:T33" si="3">F33*G33</f>
        <v>0</v>
      </c>
      <c r="T33" s="121">
        <f t="shared" si="3"/>
        <v>0</v>
      </c>
      <c r="U33" s="121"/>
      <c r="V33" s="121">
        <f>I33*J33</f>
        <v>0</v>
      </c>
      <c r="W33" s="112"/>
      <c r="X33" s="121"/>
      <c r="Y33" s="112"/>
      <c r="Z33" s="112"/>
      <c r="AA33" s="121"/>
      <c r="AB33" s="112"/>
      <c r="AC33" s="112"/>
      <c r="AD33" s="121"/>
      <c r="AE33" s="112"/>
      <c r="AF33" s="112"/>
      <c r="AG33" s="121"/>
      <c r="AH33" s="112"/>
      <c r="AI33" s="112"/>
      <c r="AJ33" s="121"/>
      <c r="AK33" s="112"/>
      <c r="AL33" s="112"/>
      <c r="AM33" s="121"/>
      <c r="AN33" s="112"/>
      <c r="AO33" s="112"/>
      <c r="AP33" s="121"/>
      <c r="AQ33" s="112"/>
      <c r="AR33" s="112"/>
      <c r="AS33" s="112">
        <f t="shared" si="1"/>
        <v>99750</v>
      </c>
      <c r="AT33" s="317"/>
      <c r="AU33" s="113"/>
    </row>
    <row r="34">
      <c r="A34" s="124">
        <v>22.0</v>
      </c>
      <c r="B34" s="318" t="s">
        <v>239</v>
      </c>
      <c r="C34" s="319"/>
      <c r="D34" s="319"/>
      <c r="E34" s="321">
        <v>30.0</v>
      </c>
      <c r="F34" s="322">
        <v>3800.0</v>
      </c>
      <c r="G34" s="323"/>
      <c r="H34" s="323"/>
      <c r="I34" s="325"/>
      <c r="J34" s="112"/>
      <c r="K34" s="112"/>
      <c r="L34" s="112"/>
      <c r="M34" s="112"/>
      <c r="N34" s="112"/>
      <c r="O34" s="121">
        <f t="shared" si="4"/>
        <v>114000</v>
      </c>
      <c r="P34" s="112"/>
      <c r="Q34" s="112"/>
      <c r="R34" s="121">
        <f t="shared" ref="R34:R35" si="5">E34*F34</f>
        <v>114000</v>
      </c>
      <c r="S34" s="112"/>
      <c r="T34" s="112"/>
      <c r="U34" s="121">
        <v>76000.0</v>
      </c>
      <c r="V34" s="112"/>
      <c r="W34" s="112"/>
      <c r="X34" s="121">
        <v>76000.0</v>
      </c>
      <c r="Y34" s="112"/>
      <c r="Z34" s="112"/>
      <c r="AA34" s="121">
        <v>76000.0</v>
      </c>
      <c r="AB34" s="112"/>
      <c r="AC34" s="112"/>
      <c r="AD34" s="121">
        <v>76000.0</v>
      </c>
      <c r="AE34" s="112"/>
      <c r="AF34" s="112"/>
      <c r="AG34" s="121">
        <v>76000.0</v>
      </c>
      <c r="AH34" s="112"/>
      <c r="AI34" s="112"/>
      <c r="AJ34" s="121">
        <v>76000.0</v>
      </c>
      <c r="AK34" s="112"/>
      <c r="AL34" s="112"/>
      <c r="AM34" s="121">
        <v>76000.0</v>
      </c>
      <c r="AN34" s="112"/>
      <c r="AO34" s="112"/>
      <c r="AP34" s="121">
        <v>76000.0</v>
      </c>
      <c r="AQ34" s="112"/>
      <c r="AR34" s="112"/>
      <c r="AS34" s="112">
        <f t="shared" si="1"/>
        <v>836000</v>
      </c>
      <c r="AT34" s="317"/>
      <c r="AU34" s="113"/>
    </row>
    <row r="35">
      <c r="A35" s="124">
        <v>23.0</v>
      </c>
      <c r="B35" s="327" t="s">
        <v>244</v>
      </c>
      <c r="C35" s="328"/>
      <c r="D35" s="329"/>
      <c r="E35" s="321">
        <v>30.0</v>
      </c>
      <c r="F35" s="322">
        <v>3800.0</v>
      </c>
      <c r="G35" s="323"/>
      <c r="H35" s="323"/>
      <c r="I35" s="325"/>
      <c r="J35" s="112"/>
      <c r="K35" s="112"/>
      <c r="L35" s="112"/>
      <c r="M35" s="112"/>
      <c r="N35" s="112"/>
      <c r="O35" s="121">
        <f t="shared" si="4"/>
        <v>114000</v>
      </c>
      <c r="P35" s="112"/>
      <c r="Q35" s="112"/>
      <c r="R35" s="121">
        <f t="shared" si="5"/>
        <v>114000</v>
      </c>
      <c r="S35" s="112"/>
      <c r="T35" s="112"/>
      <c r="U35" s="121">
        <f>3800*20</f>
        <v>76000</v>
      </c>
      <c r="V35" s="112"/>
      <c r="W35" s="112"/>
      <c r="X35" s="121">
        <f>3800*30</f>
        <v>114000</v>
      </c>
      <c r="Y35" s="112"/>
      <c r="Z35" s="112"/>
      <c r="AA35" s="121">
        <v>76000.0</v>
      </c>
      <c r="AB35" s="112"/>
      <c r="AC35" s="112"/>
      <c r="AD35" s="121">
        <v>76000.0</v>
      </c>
      <c r="AE35" s="112"/>
      <c r="AF35" s="112"/>
      <c r="AG35" s="121">
        <v>76000.0</v>
      </c>
      <c r="AH35" s="112"/>
      <c r="AI35" s="112"/>
      <c r="AJ35" s="121">
        <v>76000.0</v>
      </c>
      <c r="AK35" s="112"/>
      <c r="AL35" s="112"/>
      <c r="AM35" s="121">
        <v>76000.0</v>
      </c>
      <c r="AN35" s="112"/>
      <c r="AO35" s="112"/>
      <c r="AP35" s="121">
        <v>76000.0</v>
      </c>
      <c r="AQ35" s="112"/>
      <c r="AR35" s="112"/>
      <c r="AS35" s="112">
        <f t="shared" si="1"/>
        <v>874000</v>
      </c>
      <c r="AT35" s="317"/>
      <c r="AU35" s="113"/>
    </row>
    <row r="36">
      <c r="A36" s="124">
        <v>24.0</v>
      </c>
      <c r="B36" s="330" t="s">
        <v>269</v>
      </c>
      <c r="C36" s="328"/>
      <c r="D36" s="329"/>
      <c r="E36" s="320">
        <v>100.0</v>
      </c>
      <c r="F36" s="315">
        <v>3800.0</v>
      </c>
      <c r="G36" s="314"/>
      <c r="H36" s="315">
        <v>0.0</v>
      </c>
      <c r="I36" s="325"/>
      <c r="J36" s="112"/>
      <c r="K36" s="112"/>
      <c r="L36" s="121">
        <v>19950.0</v>
      </c>
      <c r="M36" s="112"/>
      <c r="N36" s="112"/>
      <c r="O36" s="121">
        <f t="shared" si="4"/>
        <v>380000</v>
      </c>
      <c r="P36" s="112"/>
      <c r="Q36" s="112"/>
      <c r="R36" s="121">
        <f>F35*E36</f>
        <v>380000</v>
      </c>
      <c r="S36" s="112"/>
      <c r="T36" s="112"/>
      <c r="U36" s="121">
        <f>3800*50</f>
        <v>190000</v>
      </c>
      <c r="V36" s="112"/>
      <c r="W36" s="112"/>
      <c r="X36" s="121">
        <f>3800*60</f>
        <v>228000</v>
      </c>
      <c r="Y36" s="112"/>
      <c r="Z36" s="112"/>
      <c r="AA36" s="121">
        <f>3800*80</f>
        <v>304000</v>
      </c>
      <c r="AB36" s="112"/>
      <c r="AC36" s="112"/>
      <c r="AD36" s="121">
        <f>3800*100</f>
        <v>380000</v>
      </c>
      <c r="AE36" s="112"/>
      <c r="AF36" s="112"/>
      <c r="AG36" s="121">
        <f>3800*120</f>
        <v>456000</v>
      </c>
      <c r="AH36" s="112"/>
      <c r="AI36" s="112"/>
      <c r="AJ36" s="121">
        <f>3800*150</f>
        <v>570000</v>
      </c>
      <c r="AK36" s="112"/>
      <c r="AL36" s="112"/>
      <c r="AM36" s="121">
        <f>3800*159</f>
        <v>604200</v>
      </c>
      <c r="AN36" s="112"/>
      <c r="AO36" s="112"/>
      <c r="AP36" s="121">
        <f>3800*170</f>
        <v>646000</v>
      </c>
      <c r="AQ36" s="112"/>
      <c r="AR36" s="112"/>
      <c r="AS36" s="112">
        <f t="shared" si="1"/>
        <v>4158150</v>
      </c>
      <c r="AT36" s="317"/>
      <c r="AU36" s="113"/>
    </row>
    <row r="37">
      <c r="A37" s="283"/>
      <c r="B37" s="330" t="s">
        <v>299</v>
      </c>
      <c r="C37" s="319"/>
      <c r="D37" s="319"/>
      <c r="E37" s="319"/>
      <c r="F37" s="319"/>
      <c r="G37" s="319"/>
      <c r="H37" s="333">
        <f>H30+H32+H33+H34+H35+H36</f>
        <v>0</v>
      </c>
      <c r="I37" s="334">
        <v>0.0</v>
      </c>
      <c r="J37" s="334">
        <v>0.0</v>
      </c>
      <c r="K37" s="334">
        <v>0.0</v>
      </c>
      <c r="L37" s="333">
        <f t="shared" ref="L37:AS37" si="6">SUM(L30:L36)</f>
        <v>182820</v>
      </c>
      <c r="M37" s="333">
        <f t="shared" si="6"/>
        <v>0</v>
      </c>
      <c r="N37" s="333">
        <f t="shared" si="6"/>
        <v>0</v>
      </c>
      <c r="O37" s="333">
        <f t="shared" si="6"/>
        <v>707750</v>
      </c>
      <c r="P37" s="333">
        <f t="shared" si="6"/>
        <v>0</v>
      </c>
      <c r="Q37" s="333">
        <f t="shared" si="6"/>
        <v>0</v>
      </c>
      <c r="R37" s="333">
        <f t="shared" si="6"/>
        <v>608000</v>
      </c>
      <c r="S37" s="333">
        <f t="shared" si="6"/>
        <v>0</v>
      </c>
      <c r="T37" s="333">
        <f t="shared" si="6"/>
        <v>0</v>
      </c>
      <c r="U37" s="333">
        <f t="shared" si="6"/>
        <v>342000</v>
      </c>
      <c r="V37" s="333">
        <f t="shared" si="6"/>
        <v>0</v>
      </c>
      <c r="W37" s="333">
        <f t="shared" si="6"/>
        <v>0</v>
      </c>
      <c r="X37" s="333">
        <f t="shared" si="6"/>
        <v>418000</v>
      </c>
      <c r="Y37" s="333">
        <f t="shared" si="6"/>
        <v>0</v>
      </c>
      <c r="Z37" s="333">
        <f t="shared" si="6"/>
        <v>0</v>
      </c>
      <c r="AA37" s="333">
        <f t="shared" si="6"/>
        <v>456000</v>
      </c>
      <c r="AB37" s="333">
        <f t="shared" si="6"/>
        <v>0</v>
      </c>
      <c r="AC37" s="333">
        <f t="shared" si="6"/>
        <v>0</v>
      </c>
      <c r="AD37" s="333">
        <f t="shared" si="6"/>
        <v>532000</v>
      </c>
      <c r="AE37" s="333">
        <f t="shared" si="6"/>
        <v>0</v>
      </c>
      <c r="AF37" s="333">
        <f t="shared" si="6"/>
        <v>0</v>
      </c>
      <c r="AG37" s="333">
        <f t="shared" si="6"/>
        <v>608000</v>
      </c>
      <c r="AH37" s="333">
        <f t="shared" si="6"/>
        <v>0</v>
      </c>
      <c r="AI37" s="333">
        <f t="shared" si="6"/>
        <v>0</v>
      </c>
      <c r="AJ37" s="333">
        <f t="shared" si="6"/>
        <v>722000</v>
      </c>
      <c r="AK37" s="333">
        <f t="shared" si="6"/>
        <v>0</v>
      </c>
      <c r="AL37" s="333">
        <f t="shared" si="6"/>
        <v>0</v>
      </c>
      <c r="AM37" s="333">
        <f t="shared" si="6"/>
        <v>756200</v>
      </c>
      <c r="AN37" s="333">
        <f t="shared" si="6"/>
        <v>0</v>
      </c>
      <c r="AO37" s="333">
        <f t="shared" si="6"/>
        <v>0</v>
      </c>
      <c r="AP37" s="333">
        <f t="shared" si="6"/>
        <v>798000</v>
      </c>
      <c r="AQ37" s="333">
        <f t="shared" si="6"/>
        <v>0</v>
      </c>
      <c r="AR37" s="333">
        <f t="shared" si="6"/>
        <v>0</v>
      </c>
      <c r="AS37" s="333">
        <f t="shared" si="6"/>
        <v>6130770</v>
      </c>
      <c r="AT37" s="317"/>
      <c r="AU37" s="113"/>
    </row>
    <row r="38">
      <c r="A38" s="45"/>
      <c r="B38" s="45"/>
      <c r="C38" s="45"/>
      <c r="D38" s="45"/>
      <c r="E38" s="45"/>
      <c r="F38" s="45"/>
      <c r="G38" s="45"/>
      <c r="H38" s="337">
        <v>46048.0</v>
      </c>
      <c r="I38" s="57"/>
      <c r="J38" s="57"/>
      <c r="K38" s="57"/>
      <c r="L38" s="78" t="s">
        <v>354</v>
      </c>
      <c r="M38" s="57"/>
      <c r="N38" s="57"/>
      <c r="O38" s="339">
        <v>46107.0</v>
      </c>
      <c r="P38" s="57"/>
      <c r="Q38" s="57"/>
      <c r="R38" s="339">
        <v>46138.0</v>
      </c>
      <c r="S38" s="57"/>
      <c r="T38" s="57"/>
      <c r="U38" s="78" t="s">
        <v>356</v>
      </c>
      <c r="V38" s="57"/>
      <c r="W38" s="57"/>
      <c r="X38" s="339">
        <v>46199.0</v>
      </c>
      <c r="Y38" s="57"/>
      <c r="Z38" s="57"/>
      <c r="AA38" s="339">
        <v>46229.0</v>
      </c>
      <c r="AB38" s="57"/>
      <c r="AC38" s="57"/>
      <c r="AD38" s="339">
        <v>46260.0</v>
      </c>
      <c r="AE38" s="57"/>
      <c r="AF38" s="57"/>
      <c r="AG38" s="78" t="s">
        <v>357</v>
      </c>
      <c r="AH38" s="57"/>
      <c r="AI38" s="57"/>
      <c r="AJ38" s="339">
        <v>46321.0</v>
      </c>
      <c r="AK38" s="57"/>
      <c r="AL38" s="57"/>
      <c r="AM38" s="78" t="s">
        <v>358</v>
      </c>
      <c r="AN38" s="57"/>
      <c r="AO38" s="57"/>
      <c r="AP38" s="339">
        <v>46382.0</v>
      </c>
      <c r="AQ38" s="340"/>
      <c r="AR38" s="340"/>
      <c r="AS38" s="340"/>
      <c r="AT38" s="91" t="s">
        <v>29</v>
      </c>
      <c r="AU38" s="113"/>
    </row>
    <row r="39">
      <c r="A39" s="45"/>
      <c r="B39" s="341" t="s">
        <v>47</v>
      </c>
      <c r="C39" s="342"/>
      <c r="D39" s="342"/>
      <c r="E39" s="342"/>
      <c r="F39" s="342"/>
      <c r="G39" s="342"/>
      <c r="H39" s="343">
        <f t="shared" ref="H39:AS39" si="7">H40+H41+H42</f>
        <v>20000</v>
      </c>
      <c r="I39" s="343">
        <f t="shared" si="7"/>
        <v>0</v>
      </c>
      <c r="J39" s="343">
        <f t="shared" si="7"/>
        <v>0</v>
      </c>
      <c r="K39" s="343">
        <f t="shared" si="7"/>
        <v>0</v>
      </c>
      <c r="L39" s="343">
        <f t="shared" si="7"/>
        <v>25600</v>
      </c>
      <c r="M39" s="343">
        <f t="shared" si="7"/>
        <v>0</v>
      </c>
      <c r="N39" s="343">
        <f t="shared" si="7"/>
        <v>0</v>
      </c>
      <c r="O39" s="343">
        <f t="shared" si="7"/>
        <v>32000</v>
      </c>
      <c r="P39" s="343">
        <f t="shared" si="7"/>
        <v>0</v>
      </c>
      <c r="Q39" s="343">
        <f t="shared" si="7"/>
        <v>0</v>
      </c>
      <c r="R39" s="343">
        <f t="shared" si="7"/>
        <v>32000</v>
      </c>
      <c r="S39" s="343">
        <f t="shared" si="7"/>
        <v>0</v>
      </c>
      <c r="T39" s="343">
        <f t="shared" si="7"/>
        <v>0</v>
      </c>
      <c r="U39" s="343">
        <f t="shared" si="7"/>
        <v>32000</v>
      </c>
      <c r="V39" s="343">
        <f t="shared" si="7"/>
        <v>0</v>
      </c>
      <c r="W39" s="343">
        <f t="shared" si="7"/>
        <v>0</v>
      </c>
      <c r="X39" s="343">
        <f t="shared" si="7"/>
        <v>32000</v>
      </c>
      <c r="Y39" s="343">
        <f t="shared" si="7"/>
        <v>0</v>
      </c>
      <c r="Z39" s="343">
        <f t="shared" si="7"/>
        <v>0</v>
      </c>
      <c r="AA39" s="343">
        <f t="shared" si="7"/>
        <v>32000</v>
      </c>
      <c r="AB39" s="343">
        <f t="shared" si="7"/>
        <v>0</v>
      </c>
      <c r="AC39" s="343">
        <f t="shared" si="7"/>
        <v>0</v>
      </c>
      <c r="AD39" s="343">
        <f t="shared" si="7"/>
        <v>38400</v>
      </c>
      <c r="AE39" s="343">
        <f t="shared" si="7"/>
        <v>0</v>
      </c>
      <c r="AF39" s="343">
        <f t="shared" si="7"/>
        <v>0</v>
      </c>
      <c r="AG39" s="343">
        <f t="shared" si="7"/>
        <v>38400</v>
      </c>
      <c r="AH39" s="343">
        <f t="shared" si="7"/>
        <v>0</v>
      </c>
      <c r="AI39" s="343">
        <f t="shared" si="7"/>
        <v>0</v>
      </c>
      <c r="AJ39" s="343">
        <f t="shared" si="7"/>
        <v>38400</v>
      </c>
      <c r="AK39" s="343">
        <f t="shared" si="7"/>
        <v>0</v>
      </c>
      <c r="AL39" s="343">
        <f t="shared" si="7"/>
        <v>0</v>
      </c>
      <c r="AM39" s="343">
        <f t="shared" si="7"/>
        <v>38400</v>
      </c>
      <c r="AN39" s="343">
        <f t="shared" si="7"/>
        <v>0</v>
      </c>
      <c r="AO39" s="343">
        <f t="shared" si="7"/>
        <v>0</v>
      </c>
      <c r="AP39" s="343">
        <f t="shared" si="7"/>
        <v>38400</v>
      </c>
      <c r="AQ39" s="343">
        <f t="shared" si="7"/>
        <v>0</v>
      </c>
      <c r="AR39" s="343">
        <f t="shared" si="7"/>
        <v>0</v>
      </c>
      <c r="AS39" s="344">
        <f t="shared" si="7"/>
        <v>397600</v>
      </c>
      <c r="AT39" s="345">
        <f>'Бюджет 2026'!S7</f>
        <v>400000</v>
      </c>
      <c r="AU39" s="113"/>
    </row>
    <row r="40">
      <c r="A40" s="45"/>
      <c r="B40" s="127" t="s">
        <v>424</v>
      </c>
      <c r="C40" s="176"/>
      <c r="D40" s="176"/>
      <c r="E40" s="176"/>
      <c r="F40" s="176"/>
      <c r="G40" s="176"/>
      <c r="H40" s="346">
        <f>5000*3</f>
        <v>15000</v>
      </c>
      <c r="I40" s="203"/>
      <c r="J40" s="112"/>
      <c r="K40" s="347"/>
      <c r="L40" s="346">
        <f>6400*3</f>
        <v>19200</v>
      </c>
      <c r="M40" s="112"/>
      <c r="N40" s="112"/>
      <c r="O40" s="346">
        <f>6400*3</f>
        <v>19200</v>
      </c>
      <c r="P40" s="112"/>
      <c r="Q40" s="112"/>
      <c r="R40" s="346">
        <f>6400*3</f>
        <v>19200</v>
      </c>
      <c r="S40" s="112"/>
      <c r="T40" s="112"/>
      <c r="U40" s="346">
        <f>6400*3</f>
        <v>19200</v>
      </c>
      <c r="V40" s="112"/>
      <c r="W40" s="112"/>
      <c r="X40" s="346">
        <f>6400*3</f>
        <v>19200</v>
      </c>
      <c r="Y40" s="112"/>
      <c r="Z40" s="112"/>
      <c r="AA40" s="346">
        <f>6400*3</f>
        <v>19200</v>
      </c>
      <c r="AB40" s="112"/>
      <c r="AC40" s="112"/>
      <c r="AD40" s="346">
        <f>6400*3</f>
        <v>19200</v>
      </c>
      <c r="AE40" s="112"/>
      <c r="AF40" s="112"/>
      <c r="AG40" s="346">
        <f>6400*3</f>
        <v>19200</v>
      </c>
      <c r="AH40" s="112"/>
      <c r="AI40" s="112"/>
      <c r="AJ40" s="346">
        <f>6400*3</f>
        <v>19200</v>
      </c>
      <c r="AK40" s="112"/>
      <c r="AL40" s="112"/>
      <c r="AM40" s="346">
        <f>6400*3</f>
        <v>19200</v>
      </c>
      <c r="AN40" s="112"/>
      <c r="AO40" s="112"/>
      <c r="AP40" s="346">
        <f>6400*3</f>
        <v>19200</v>
      </c>
      <c r="AQ40" s="112"/>
      <c r="AR40" s="112"/>
      <c r="AS40" s="343">
        <f t="shared" ref="AS40:AS50" si="8">SUM(H40:AR40)</f>
        <v>226200</v>
      </c>
      <c r="AT40" s="121"/>
      <c r="AU40" s="113"/>
    </row>
    <row r="41">
      <c r="A41" s="45"/>
      <c r="B41" s="127" t="s">
        <v>466</v>
      </c>
      <c r="C41" s="176"/>
      <c r="D41" s="176"/>
      <c r="E41" s="176"/>
      <c r="F41" s="176"/>
      <c r="G41" s="176"/>
      <c r="H41" s="346">
        <f>5000</f>
        <v>5000</v>
      </c>
      <c r="I41" s="203"/>
      <c r="J41" s="112"/>
      <c r="K41" s="347"/>
      <c r="L41" s="346">
        <f>6400</f>
        <v>6400</v>
      </c>
      <c r="M41" s="112"/>
      <c r="N41" s="112"/>
      <c r="O41" s="346">
        <f>6400</f>
        <v>6400</v>
      </c>
      <c r="P41" s="112"/>
      <c r="Q41" s="112"/>
      <c r="R41" s="346">
        <f>6400</f>
        <v>6400</v>
      </c>
      <c r="S41" s="112"/>
      <c r="T41" s="112"/>
      <c r="U41" s="346">
        <f>6400</f>
        <v>6400</v>
      </c>
      <c r="V41" s="112"/>
      <c r="W41" s="112"/>
      <c r="X41" s="346">
        <f>6400</f>
        <v>6400</v>
      </c>
      <c r="Y41" s="112"/>
      <c r="Z41" s="112"/>
      <c r="AA41" s="346">
        <f>6400</f>
        <v>6400</v>
      </c>
      <c r="AB41" s="112"/>
      <c r="AC41" s="112"/>
      <c r="AD41" s="346">
        <f>6400</f>
        <v>6400</v>
      </c>
      <c r="AE41" s="112"/>
      <c r="AF41" s="112"/>
      <c r="AG41" s="346">
        <f>6400</f>
        <v>6400</v>
      </c>
      <c r="AH41" s="112"/>
      <c r="AI41" s="112"/>
      <c r="AJ41" s="346">
        <f>6400</f>
        <v>6400</v>
      </c>
      <c r="AK41" s="112"/>
      <c r="AL41" s="112"/>
      <c r="AM41" s="346">
        <f>6400</f>
        <v>6400</v>
      </c>
      <c r="AN41" s="112"/>
      <c r="AO41" s="112"/>
      <c r="AP41" s="346">
        <f>6400</f>
        <v>6400</v>
      </c>
      <c r="AQ41" s="112"/>
      <c r="AR41" s="112"/>
      <c r="AS41" s="343">
        <f t="shared" si="8"/>
        <v>75400</v>
      </c>
      <c r="AT41" s="112"/>
      <c r="AU41" s="113"/>
    </row>
    <row r="42">
      <c r="A42" s="45"/>
      <c r="B42" s="103" t="s">
        <v>467</v>
      </c>
      <c r="C42" s="45"/>
      <c r="D42" s="45"/>
      <c r="E42" s="45"/>
      <c r="F42" s="45"/>
      <c r="G42" s="45"/>
      <c r="H42" s="45"/>
      <c r="I42" s="45"/>
      <c r="J42" s="45"/>
      <c r="K42" s="45"/>
      <c r="L42" s="124"/>
      <c r="M42" s="112"/>
      <c r="N42" s="112"/>
      <c r="O42" s="124">
        <v>6400.0</v>
      </c>
      <c r="P42" s="112"/>
      <c r="Q42" s="112"/>
      <c r="R42" s="124">
        <v>6400.0</v>
      </c>
      <c r="S42" s="112"/>
      <c r="T42" s="112"/>
      <c r="U42" s="124">
        <v>6400.0</v>
      </c>
      <c r="V42" s="112"/>
      <c r="W42" s="112"/>
      <c r="X42" s="124">
        <v>6400.0</v>
      </c>
      <c r="Y42" s="112"/>
      <c r="Z42" s="112"/>
      <c r="AA42" s="124">
        <v>6400.0</v>
      </c>
      <c r="AB42" s="112"/>
      <c r="AC42" s="112"/>
      <c r="AD42" s="124">
        <v>12800.0</v>
      </c>
      <c r="AE42" s="112"/>
      <c r="AF42" s="112"/>
      <c r="AG42" s="124">
        <v>12800.0</v>
      </c>
      <c r="AH42" s="112"/>
      <c r="AI42" s="112"/>
      <c r="AJ42" s="124">
        <v>12800.0</v>
      </c>
      <c r="AK42" s="112"/>
      <c r="AL42" s="112"/>
      <c r="AM42" s="124">
        <f>6400*2</f>
        <v>12800</v>
      </c>
      <c r="AN42" s="112"/>
      <c r="AO42" s="112"/>
      <c r="AP42" s="124">
        <f>6400*2</f>
        <v>12800</v>
      </c>
      <c r="AQ42" s="112"/>
      <c r="AR42" s="112"/>
      <c r="AS42" s="343">
        <f t="shared" si="8"/>
        <v>96000</v>
      </c>
      <c r="AT42" s="112"/>
      <c r="AU42" s="113"/>
    </row>
    <row r="43">
      <c r="A43" s="45"/>
      <c r="B43" s="341" t="s">
        <v>55</v>
      </c>
      <c r="C43" s="342"/>
      <c r="D43" s="342"/>
      <c r="E43" s="342"/>
      <c r="F43" s="342"/>
      <c r="G43" s="342"/>
      <c r="H43" s="348">
        <f t="shared" ref="H43:Z43" si="9">H44+H45+H46+H47+H48+H49+H50+H54+H55+H56</f>
        <v>71800</v>
      </c>
      <c r="I43" s="348">
        <f t="shared" si="9"/>
        <v>0</v>
      </c>
      <c r="J43" s="348">
        <f t="shared" si="9"/>
        <v>0</v>
      </c>
      <c r="K43" s="348">
        <f t="shared" si="9"/>
        <v>0</v>
      </c>
      <c r="L43" s="348">
        <f t="shared" si="9"/>
        <v>221400</v>
      </c>
      <c r="M43" s="348">
        <f t="shared" si="9"/>
        <v>0</v>
      </c>
      <c r="N43" s="348">
        <f t="shared" si="9"/>
        <v>0</v>
      </c>
      <c r="O43" s="348">
        <f t="shared" si="9"/>
        <v>164000</v>
      </c>
      <c r="P43" s="348">
        <f t="shared" si="9"/>
        <v>0</v>
      </c>
      <c r="Q43" s="348">
        <f t="shared" si="9"/>
        <v>0</v>
      </c>
      <c r="R43" s="348">
        <f t="shared" si="9"/>
        <v>100000</v>
      </c>
      <c r="S43" s="348">
        <f t="shared" si="9"/>
        <v>0</v>
      </c>
      <c r="T43" s="348">
        <f t="shared" si="9"/>
        <v>0</v>
      </c>
      <c r="U43" s="348">
        <f t="shared" si="9"/>
        <v>50000</v>
      </c>
      <c r="V43" s="348">
        <f t="shared" si="9"/>
        <v>0</v>
      </c>
      <c r="W43" s="348">
        <f t="shared" si="9"/>
        <v>0</v>
      </c>
      <c r="X43" s="348">
        <f t="shared" si="9"/>
        <v>100000</v>
      </c>
      <c r="Y43" s="348">
        <f t="shared" si="9"/>
        <v>0</v>
      </c>
      <c r="Z43" s="348">
        <f t="shared" si="9"/>
        <v>0</v>
      </c>
      <c r="AA43" s="348">
        <f>AA44+AA45+AA46+AA47+AA48+AA49+AA50+AA54+AA55+AA56+AA51+AA52+AA53</f>
        <v>215000</v>
      </c>
      <c r="AB43" s="348">
        <f t="shared" ref="AB43:AQ43" si="10">AB44+AB45+AB46+AB47+AB48+AB49+AB50+AB54+AB55+AB56</f>
        <v>0</v>
      </c>
      <c r="AC43" s="348">
        <f t="shared" si="10"/>
        <v>0</v>
      </c>
      <c r="AD43" s="348">
        <f t="shared" si="10"/>
        <v>160000</v>
      </c>
      <c r="AE43" s="348">
        <f t="shared" si="10"/>
        <v>0</v>
      </c>
      <c r="AF43" s="348">
        <f t="shared" si="10"/>
        <v>0</v>
      </c>
      <c r="AG43" s="348">
        <f t="shared" si="10"/>
        <v>100000</v>
      </c>
      <c r="AH43" s="348">
        <f t="shared" si="10"/>
        <v>0</v>
      </c>
      <c r="AI43" s="348">
        <f t="shared" si="10"/>
        <v>0</v>
      </c>
      <c r="AJ43" s="348">
        <f t="shared" si="10"/>
        <v>100000</v>
      </c>
      <c r="AK43" s="348">
        <f t="shared" si="10"/>
        <v>0</v>
      </c>
      <c r="AL43" s="348">
        <f t="shared" si="10"/>
        <v>0</v>
      </c>
      <c r="AM43" s="348">
        <f t="shared" si="10"/>
        <v>155000</v>
      </c>
      <c r="AN43" s="348">
        <f t="shared" si="10"/>
        <v>0</v>
      </c>
      <c r="AO43" s="348">
        <f t="shared" si="10"/>
        <v>0</v>
      </c>
      <c r="AP43" s="348">
        <f t="shared" si="10"/>
        <v>160000</v>
      </c>
      <c r="AQ43" s="348">
        <f t="shared" si="10"/>
        <v>0</v>
      </c>
      <c r="AR43" s="349"/>
      <c r="AS43" s="350">
        <f t="shared" si="8"/>
        <v>1597200</v>
      </c>
      <c r="AT43" s="351"/>
      <c r="AU43" s="93"/>
    </row>
    <row r="44">
      <c r="A44" s="45"/>
      <c r="B44" s="127" t="s">
        <v>468</v>
      </c>
      <c r="C44" s="176"/>
      <c r="D44" s="176"/>
      <c r="E44" s="176"/>
      <c r="F44" s="176"/>
      <c r="G44" s="176"/>
      <c r="H44" s="352"/>
      <c r="I44" s="203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347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346">
        <v>55000.0</v>
      </c>
      <c r="AN44" s="112"/>
      <c r="AO44" s="112"/>
      <c r="AP44" s="112"/>
      <c r="AQ44" s="112"/>
      <c r="AR44" s="112"/>
      <c r="AS44" s="353">
        <f t="shared" si="8"/>
        <v>55000</v>
      </c>
      <c r="AT44" s="112"/>
      <c r="AU44" s="113"/>
    </row>
    <row r="45">
      <c r="A45" s="45"/>
      <c r="B45" s="127" t="s">
        <v>466</v>
      </c>
      <c r="C45" s="176"/>
      <c r="D45" s="176"/>
      <c r="E45" s="176"/>
      <c r="F45" s="176"/>
      <c r="G45" s="176"/>
      <c r="H45" s="203"/>
      <c r="I45" s="203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346">
        <v>50000.0</v>
      </c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K45" s="112"/>
      <c r="AL45" s="112"/>
      <c r="AM45" s="203"/>
      <c r="AN45" s="112"/>
      <c r="AO45" s="112"/>
      <c r="AP45" s="112"/>
      <c r="AQ45" s="112"/>
      <c r="AR45" s="112"/>
      <c r="AS45" s="353">
        <f t="shared" si="8"/>
        <v>50000</v>
      </c>
      <c r="AT45" s="112"/>
      <c r="AU45" s="113"/>
    </row>
    <row r="46">
      <c r="A46" s="45"/>
      <c r="B46" s="127" t="s">
        <v>469</v>
      </c>
      <c r="C46" s="176"/>
      <c r="D46" s="176"/>
      <c r="E46" s="176"/>
      <c r="F46" s="176"/>
      <c r="G46" s="176"/>
      <c r="H46" s="203"/>
      <c r="I46" s="203"/>
      <c r="J46" s="112"/>
      <c r="K46" s="112"/>
      <c r="L46" s="112"/>
      <c r="M46" s="112"/>
      <c r="N46" s="112"/>
      <c r="O46" s="121">
        <v>57000.0</v>
      </c>
      <c r="P46" s="112"/>
      <c r="Q46" s="112"/>
      <c r="R46" s="121"/>
      <c r="S46" s="112"/>
      <c r="T46" s="112"/>
      <c r="U46" s="112"/>
      <c r="V46" s="112"/>
      <c r="W46" s="112"/>
      <c r="X46" s="354"/>
      <c r="Y46" s="112"/>
      <c r="Z46" s="112"/>
      <c r="AA46" s="112"/>
      <c r="AB46" s="112"/>
      <c r="AC46" s="112"/>
      <c r="AD46" s="112"/>
      <c r="AE46" s="112"/>
      <c r="AF46" s="112"/>
      <c r="AG46" s="112"/>
      <c r="AH46" s="112"/>
      <c r="AI46" s="112"/>
      <c r="AJ46" s="112"/>
      <c r="AK46" s="112"/>
      <c r="AL46" s="112"/>
      <c r="AM46" s="112"/>
      <c r="AN46" s="112"/>
      <c r="AO46" s="112"/>
      <c r="AP46" s="203"/>
      <c r="AQ46" s="112"/>
      <c r="AR46" s="112"/>
      <c r="AS46" s="353">
        <f t="shared" si="8"/>
        <v>57000</v>
      </c>
      <c r="AT46" s="112"/>
      <c r="AU46" s="113"/>
    </row>
    <row r="47">
      <c r="A47" s="45"/>
      <c r="B47" s="127" t="s">
        <v>470</v>
      </c>
      <c r="C47" s="176"/>
      <c r="D47" s="176"/>
      <c r="E47" s="176"/>
      <c r="F47" s="176"/>
      <c r="G47" s="176"/>
      <c r="H47" s="203"/>
      <c r="I47" s="203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354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346">
        <v>55000.0</v>
      </c>
      <c r="AQ47" s="112"/>
      <c r="AR47" s="112"/>
      <c r="AS47" s="353">
        <f t="shared" si="8"/>
        <v>55000</v>
      </c>
      <c r="AT47" s="112"/>
      <c r="AU47" s="113"/>
    </row>
    <row r="48">
      <c r="A48" s="45"/>
      <c r="B48" s="127" t="s">
        <v>118</v>
      </c>
      <c r="C48" s="176"/>
      <c r="D48" s="176"/>
      <c r="E48" s="176"/>
      <c r="F48" s="176"/>
      <c r="G48" s="176"/>
      <c r="H48" s="203"/>
      <c r="I48" s="203"/>
      <c r="J48" s="112"/>
      <c r="K48" s="112"/>
      <c r="L48" s="112"/>
      <c r="M48" s="112"/>
      <c r="N48" s="112"/>
      <c r="O48" s="121">
        <v>57000.0</v>
      </c>
      <c r="P48" s="112"/>
      <c r="Q48" s="112"/>
      <c r="R48" s="112"/>
      <c r="S48" s="112"/>
      <c r="T48" s="112"/>
      <c r="U48" s="112"/>
      <c r="V48" s="112"/>
      <c r="W48" s="112"/>
      <c r="X48" s="354"/>
      <c r="Y48" s="112"/>
      <c r="Z48" s="112"/>
      <c r="AA48" s="112"/>
      <c r="AB48" s="112"/>
      <c r="AC48" s="112"/>
      <c r="AD48" s="112"/>
      <c r="AE48" s="112"/>
      <c r="AF48" s="112"/>
      <c r="AG48" s="112"/>
      <c r="AH48" s="112"/>
      <c r="AI48" s="112"/>
      <c r="AJ48" s="112"/>
      <c r="AK48" s="112"/>
      <c r="AL48" s="112"/>
      <c r="AM48" s="112"/>
      <c r="AN48" s="112"/>
      <c r="AO48" s="112"/>
      <c r="AP48" s="112"/>
      <c r="AQ48" s="112"/>
      <c r="AR48" s="112"/>
      <c r="AS48" s="353">
        <f t="shared" si="8"/>
        <v>57000</v>
      </c>
      <c r="AT48" s="112"/>
      <c r="AU48" s="113"/>
    </row>
    <row r="49">
      <c r="A49" s="45"/>
      <c r="B49" s="127" t="s">
        <v>471</v>
      </c>
      <c r="C49" s="127" t="s">
        <v>472</v>
      </c>
      <c r="D49" s="176"/>
      <c r="E49" s="176"/>
      <c r="F49" s="176"/>
      <c r="G49" s="176"/>
      <c r="H49" s="203"/>
      <c r="I49" s="203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354"/>
      <c r="Y49" s="112"/>
      <c r="Z49" s="112"/>
      <c r="AA49" s="112"/>
      <c r="AB49" s="112"/>
      <c r="AC49" s="112"/>
      <c r="AD49" s="346">
        <v>55000.0</v>
      </c>
      <c r="AE49" s="112"/>
      <c r="AF49" s="112"/>
      <c r="AG49" s="121"/>
      <c r="AH49" s="112"/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353">
        <f t="shared" si="8"/>
        <v>55000</v>
      </c>
      <c r="AT49" s="112"/>
      <c r="AU49" s="113"/>
    </row>
    <row r="50">
      <c r="A50" s="45"/>
      <c r="B50" s="127" t="s">
        <v>473</v>
      </c>
      <c r="C50" s="176"/>
      <c r="D50" s="176"/>
      <c r="E50" s="176"/>
      <c r="F50" s="176"/>
      <c r="G50" s="176"/>
      <c r="H50" s="203"/>
      <c r="I50" s="203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354"/>
      <c r="Y50" s="112"/>
      <c r="Z50" s="112"/>
      <c r="AA50" s="112"/>
      <c r="AB50" s="112"/>
      <c r="AC50" s="112"/>
      <c r="AD50" s="346">
        <v>55000.0</v>
      </c>
      <c r="AE50" s="112"/>
      <c r="AF50" s="112"/>
      <c r="AG50" s="112"/>
      <c r="AH50" s="112"/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353">
        <f t="shared" si="8"/>
        <v>55000</v>
      </c>
      <c r="AT50" s="112"/>
      <c r="AU50" s="113"/>
    </row>
    <row r="51">
      <c r="A51" s="45"/>
      <c r="B51" s="127" t="s">
        <v>474</v>
      </c>
      <c r="C51" s="176"/>
      <c r="D51" s="176"/>
      <c r="E51" s="176"/>
      <c r="F51" s="176"/>
      <c r="G51" s="176"/>
      <c r="H51" s="203"/>
      <c r="I51" s="203"/>
      <c r="J51" s="112"/>
      <c r="K51" s="112"/>
      <c r="L51" s="121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354"/>
      <c r="Y51" s="112"/>
      <c r="Z51" s="112"/>
      <c r="AA51" s="121">
        <v>55000.0</v>
      </c>
      <c r="AB51" s="112"/>
      <c r="AC51" s="112"/>
      <c r="AD51" s="347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353"/>
      <c r="AT51" s="112"/>
      <c r="AU51" s="113"/>
    </row>
    <row r="52">
      <c r="A52" s="45"/>
      <c r="B52" s="127" t="s">
        <v>475</v>
      </c>
      <c r="C52" s="176"/>
      <c r="D52" s="176"/>
      <c r="E52" s="176"/>
      <c r="F52" s="176"/>
      <c r="G52" s="176"/>
      <c r="H52" s="203"/>
      <c r="I52" s="203"/>
      <c r="J52" s="112"/>
      <c r="K52" s="112"/>
      <c r="L52" s="121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354"/>
      <c r="Y52" s="112"/>
      <c r="Z52" s="112"/>
      <c r="AA52" s="121">
        <v>55000.0</v>
      </c>
      <c r="AB52" s="112"/>
      <c r="AC52" s="112"/>
      <c r="AD52" s="347"/>
      <c r="AE52" s="112"/>
      <c r="AF52" s="112"/>
      <c r="AG52" s="112"/>
      <c r="AH52" s="112"/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353"/>
      <c r="AT52" s="112"/>
      <c r="AU52" s="113"/>
    </row>
    <row r="53">
      <c r="A53" s="45"/>
      <c r="B53" s="127" t="s">
        <v>476</v>
      </c>
      <c r="C53" s="176"/>
      <c r="D53" s="176"/>
      <c r="E53" s="176"/>
      <c r="F53" s="176"/>
      <c r="G53" s="176"/>
      <c r="H53" s="203"/>
      <c r="I53" s="203"/>
      <c r="J53" s="112"/>
      <c r="K53" s="112"/>
      <c r="L53" s="121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354"/>
      <c r="Y53" s="112"/>
      <c r="Z53" s="112"/>
      <c r="AA53" s="121">
        <v>55000.0</v>
      </c>
      <c r="AB53" s="112"/>
      <c r="AC53" s="112"/>
      <c r="AD53" s="347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353"/>
      <c r="AT53" s="112"/>
      <c r="AU53" s="113"/>
    </row>
    <row r="54">
      <c r="A54" s="45"/>
      <c r="B54" s="127" t="s">
        <v>477</v>
      </c>
      <c r="C54" s="176"/>
      <c r="D54" s="176"/>
      <c r="E54" s="176"/>
      <c r="F54" s="176"/>
      <c r="G54" s="176"/>
      <c r="H54" s="203"/>
      <c r="I54" s="203"/>
      <c r="J54" s="112"/>
      <c r="K54" s="112"/>
      <c r="L54" s="121">
        <v>55000.0</v>
      </c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354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353">
        <f t="shared" ref="AS54:AS56" si="11">SUM(H54:AR54)</f>
        <v>55000</v>
      </c>
      <c r="AT54" s="112"/>
      <c r="AU54" s="113"/>
    </row>
    <row r="55">
      <c r="A55" s="45"/>
      <c r="B55" s="127" t="s">
        <v>478</v>
      </c>
      <c r="C55" s="176"/>
      <c r="D55" s="176"/>
      <c r="E55" s="176"/>
      <c r="F55" s="176"/>
      <c r="G55" s="176"/>
      <c r="H55" s="346">
        <f>51700+20100</f>
        <v>71800</v>
      </c>
      <c r="I55" s="203"/>
      <c r="J55" s="112"/>
      <c r="K55" s="112"/>
      <c r="L55" s="121">
        <v>150000.0</v>
      </c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354"/>
      <c r="Y55" s="112"/>
      <c r="Z55" s="112"/>
      <c r="AA55" s="112"/>
      <c r="AB55" s="112"/>
      <c r="AC55" s="112"/>
      <c r="AD55" s="112"/>
      <c r="AE55" s="112"/>
      <c r="AF55" s="112"/>
      <c r="AG55" s="112"/>
      <c r="AH55" s="112"/>
      <c r="AI55" s="112"/>
      <c r="AJ55" s="112"/>
      <c r="AK55" s="112"/>
      <c r="AL55" s="112"/>
      <c r="AM55" s="112"/>
      <c r="AN55" s="112"/>
      <c r="AO55" s="112"/>
      <c r="AP55" s="121">
        <v>55000.0</v>
      </c>
      <c r="AQ55" s="112"/>
      <c r="AR55" s="112"/>
      <c r="AS55" s="353">
        <f t="shared" si="11"/>
        <v>276800</v>
      </c>
      <c r="AT55" s="112"/>
      <c r="AU55" s="113"/>
    </row>
    <row r="56">
      <c r="A56" s="45"/>
      <c r="B56" s="355" t="s">
        <v>479</v>
      </c>
      <c r="C56" s="283"/>
      <c r="D56" s="283"/>
      <c r="E56" s="283"/>
      <c r="F56" s="283"/>
      <c r="G56" s="283"/>
      <c r="H56" s="296"/>
      <c r="I56" s="296"/>
      <c r="J56" s="112"/>
      <c r="K56" s="112"/>
      <c r="L56" s="121">
        <v>16400.0</v>
      </c>
      <c r="M56" s="112"/>
      <c r="N56" s="112"/>
      <c r="O56" s="121">
        <v>50000.0</v>
      </c>
      <c r="P56" s="112"/>
      <c r="Q56" s="112"/>
      <c r="R56" s="121">
        <v>100000.0</v>
      </c>
      <c r="S56" s="112"/>
      <c r="T56" s="112"/>
      <c r="U56" s="121">
        <v>50000.0</v>
      </c>
      <c r="V56" s="112"/>
      <c r="W56" s="112"/>
      <c r="X56" s="121">
        <v>50000.0</v>
      </c>
      <c r="Y56" s="112"/>
      <c r="Z56" s="112"/>
      <c r="AA56" s="121">
        <v>50000.0</v>
      </c>
      <c r="AB56" s="112"/>
      <c r="AC56" s="112"/>
      <c r="AD56" s="121">
        <v>50000.0</v>
      </c>
      <c r="AE56" s="112"/>
      <c r="AF56" s="112"/>
      <c r="AG56" s="121">
        <v>100000.0</v>
      </c>
      <c r="AH56" s="112"/>
      <c r="AI56" s="112"/>
      <c r="AJ56" s="121">
        <v>100000.0</v>
      </c>
      <c r="AK56" s="112"/>
      <c r="AL56" s="112"/>
      <c r="AM56" s="121">
        <v>100000.0</v>
      </c>
      <c r="AN56" s="112"/>
      <c r="AO56" s="112"/>
      <c r="AP56" s="121">
        <v>50000.0</v>
      </c>
      <c r="AQ56" s="112"/>
      <c r="AR56" s="112"/>
      <c r="AS56" s="353">
        <f t="shared" si="11"/>
        <v>716400</v>
      </c>
      <c r="AT56" s="112"/>
      <c r="AU56" s="113"/>
    </row>
    <row r="57">
      <c r="A57" s="45"/>
      <c r="B57" s="356" t="s">
        <v>65</v>
      </c>
      <c r="C57" s="357"/>
      <c r="D57" s="357"/>
      <c r="E57" s="357"/>
      <c r="F57" s="357"/>
      <c r="G57" s="357"/>
      <c r="H57" s="358">
        <v>83400.0</v>
      </c>
      <c r="I57" s="359"/>
      <c r="J57" s="359"/>
      <c r="K57" s="359"/>
      <c r="L57" s="359">
        <f>3800*10</f>
        <v>38000</v>
      </c>
      <c r="M57" s="359"/>
      <c r="N57" s="359"/>
      <c r="O57" s="358">
        <f>3800*10</f>
        <v>38000</v>
      </c>
      <c r="P57" s="359"/>
      <c r="Q57" s="359"/>
      <c r="R57" s="359">
        <f>3800*10</f>
        <v>38000</v>
      </c>
      <c r="S57" s="359"/>
      <c r="T57" s="359"/>
      <c r="U57" s="359">
        <f>3800*15</f>
        <v>57000</v>
      </c>
      <c r="V57" s="359"/>
      <c r="W57" s="359"/>
      <c r="X57" s="359">
        <f>3800*15</f>
        <v>57000</v>
      </c>
      <c r="Y57" s="359"/>
      <c r="Z57" s="359"/>
      <c r="AA57" s="358">
        <f>3800*15</f>
        <v>57000</v>
      </c>
      <c r="AB57" s="359"/>
      <c r="AC57" s="359"/>
      <c r="AD57" s="359">
        <f>3800*15</f>
        <v>57000</v>
      </c>
      <c r="AE57" s="359"/>
      <c r="AF57" s="359"/>
      <c r="AG57" s="359">
        <f>3800*10</f>
        <v>38000</v>
      </c>
      <c r="AH57" s="359"/>
      <c r="AI57" s="359"/>
      <c r="AJ57" s="359">
        <f>3800*10</f>
        <v>38000</v>
      </c>
      <c r="AK57" s="359"/>
      <c r="AL57" s="359"/>
      <c r="AM57" s="359">
        <f>3800*10</f>
        <v>38000</v>
      </c>
      <c r="AN57" s="359"/>
      <c r="AO57" s="359"/>
      <c r="AP57" s="359">
        <f>3800*15</f>
        <v>57000</v>
      </c>
      <c r="AQ57" s="359"/>
      <c r="AR57" s="359"/>
      <c r="AS57" s="350">
        <f>SUM(B57:AR57)</f>
        <v>596400</v>
      </c>
      <c r="AT57" s="358"/>
      <c r="AU57" s="93"/>
    </row>
    <row r="58">
      <c r="A58" s="45"/>
      <c r="B58" s="127" t="s">
        <v>479</v>
      </c>
      <c r="C58" s="176"/>
      <c r="D58" s="176"/>
      <c r="E58" s="176"/>
      <c r="F58" s="129">
        <v>3570.0</v>
      </c>
      <c r="G58" s="176"/>
      <c r="H58" s="346">
        <v>35700.0</v>
      </c>
      <c r="I58" s="203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  <c r="AA58" s="112"/>
      <c r="AB58" s="121">
        <v>0.0</v>
      </c>
      <c r="AC58" s="112"/>
      <c r="AD58" s="112"/>
      <c r="AE58" s="112"/>
      <c r="AF58" s="112"/>
      <c r="AG58" s="112"/>
      <c r="AH58" s="112"/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353">
        <f t="shared" ref="AS58:AS59" si="12">SUM(H58:AR58)</f>
        <v>35700</v>
      </c>
      <c r="AT58" s="112"/>
      <c r="AU58" s="113"/>
    </row>
    <row r="59">
      <c r="A59" s="45"/>
      <c r="B59" s="98"/>
      <c r="C59" s="360"/>
      <c r="D59" s="360"/>
      <c r="E59" s="360"/>
      <c r="F59" s="360"/>
      <c r="G59" s="360"/>
      <c r="H59" s="121" t="s">
        <v>480</v>
      </c>
      <c r="I59" s="112"/>
      <c r="J59" s="112"/>
      <c r="K59" s="112"/>
      <c r="L59" s="121" t="s">
        <v>481</v>
      </c>
      <c r="M59" s="112"/>
      <c r="N59" s="112"/>
      <c r="O59" s="121" t="s">
        <v>482</v>
      </c>
      <c r="P59" s="112"/>
      <c r="Q59" s="112"/>
      <c r="R59" s="121" t="s">
        <v>483</v>
      </c>
      <c r="S59" s="112"/>
      <c r="T59" s="112"/>
      <c r="U59" s="121" t="s">
        <v>484</v>
      </c>
      <c r="V59" s="112"/>
      <c r="W59" s="112"/>
      <c r="X59" s="121" t="s">
        <v>485</v>
      </c>
      <c r="Y59" s="112"/>
      <c r="Z59" s="112"/>
      <c r="AA59" s="121" t="s">
        <v>486</v>
      </c>
      <c r="AB59" s="112"/>
      <c r="AC59" s="112"/>
      <c r="AD59" s="121" t="s">
        <v>487</v>
      </c>
      <c r="AE59" s="112"/>
      <c r="AF59" s="112"/>
      <c r="AG59" s="121" t="s">
        <v>488</v>
      </c>
      <c r="AH59" s="112"/>
      <c r="AI59" s="112"/>
      <c r="AJ59" s="121" t="s">
        <v>489</v>
      </c>
      <c r="AK59" s="112"/>
      <c r="AL59" s="112"/>
      <c r="AM59" s="121" t="s">
        <v>490</v>
      </c>
      <c r="AN59" s="112"/>
      <c r="AO59" s="112"/>
      <c r="AP59" s="112"/>
      <c r="AQ59" s="112"/>
      <c r="AR59" s="112"/>
      <c r="AS59" s="353">
        <f t="shared" si="12"/>
        <v>0</v>
      </c>
      <c r="AT59" s="112"/>
      <c r="AU59" s="113"/>
    </row>
    <row r="60">
      <c r="A60" s="45"/>
      <c r="B60" s="361" t="s">
        <v>74</v>
      </c>
      <c r="C60" s="357"/>
      <c r="D60" s="357"/>
      <c r="E60" s="357"/>
      <c r="F60" s="357"/>
      <c r="G60" s="357"/>
      <c r="H60" s="362"/>
      <c r="I60" s="363"/>
      <c r="J60" s="363"/>
      <c r="K60" s="363"/>
      <c r="L60" s="362"/>
      <c r="M60" s="362">
        <v>0.0</v>
      </c>
      <c r="N60" s="362">
        <v>0.0</v>
      </c>
      <c r="O60" s="362"/>
      <c r="P60" s="362">
        <v>0.0</v>
      </c>
      <c r="Q60" s="362">
        <v>0.0</v>
      </c>
      <c r="R60" s="362">
        <v>0.0</v>
      </c>
      <c r="S60" s="362">
        <v>0.0</v>
      </c>
      <c r="T60" s="362">
        <v>0.0</v>
      </c>
      <c r="U60" s="362"/>
      <c r="V60" s="362">
        <v>0.0</v>
      </c>
      <c r="W60" s="362">
        <v>0.0</v>
      </c>
      <c r="X60" s="362">
        <v>0.0</v>
      </c>
      <c r="Y60" s="362">
        <v>0.0</v>
      </c>
      <c r="Z60" s="362">
        <v>0.0</v>
      </c>
      <c r="AA60" s="362">
        <v>0.0</v>
      </c>
      <c r="AB60" s="362">
        <v>0.0</v>
      </c>
      <c r="AC60" s="362">
        <v>0.0</v>
      </c>
      <c r="AD60" s="362"/>
      <c r="AE60" s="362">
        <v>0.0</v>
      </c>
      <c r="AF60" s="362">
        <v>0.0</v>
      </c>
      <c r="AG60" s="362">
        <v>0.0</v>
      </c>
      <c r="AH60" s="362">
        <v>0.0</v>
      </c>
      <c r="AI60" s="362">
        <v>0.0</v>
      </c>
      <c r="AJ60" s="362"/>
      <c r="AK60" s="362">
        <v>0.0</v>
      </c>
      <c r="AL60" s="362">
        <v>0.0</v>
      </c>
      <c r="AM60" s="362">
        <v>0.0</v>
      </c>
      <c r="AN60" s="362">
        <v>0.0</v>
      </c>
      <c r="AO60" s="362">
        <v>0.0</v>
      </c>
      <c r="AP60" s="362"/>
      <c r="AQ60" s="362">
        <v>0.0</v>
      </c>
      <c r="AR60" s="362">
        <v>0.0</v>
      </c>
      <c r="AS60" s="353"/>
      <c r="AT60" s="362"/>
      <c r="AU60" s="113"/>
    </row>
    <row r="61">
      <c r="A61" s="45"/>
      <c r="B61" s="364" t="s">
        <v>148</v>
      </c>
      <c r="C61" s="236"/>
      <c r="D61" s="365" t="s">
        <v>491</v>
      </c>
      <c r="E61" s="366">
        <v>45775.0</v>
      </c>
      <c r="F61" s="366">
        <v>46140.0</v>
      </c>
      <c r="G61" s="367" t="s">
        <v>492</v>
      </c>
      <c r="H61" s="16"/>
      <c r="I61" s="340"/>
      <c r="J61" s="340"/>
      <c r="K61" s="340"/>
      <c r="L61" s="340"/>
      <c r="M61" s="340"/>
      <c r="N61" s="340"/>
      <c r="O61" s="340"/>
      <c r="P61" s="340"/>
      <c r="Q61" s="340"/>
      <c r="R61" s="340">
        <f>34000*1.05</f>
        <v>35700</v>
      </c>
      <c r="S61" s="340"/>
      <c r="T61" s="340"/>
      <c r="U61" s="340"/>
      <c r="V61" s="340"/>
      <c r="W61" s="340"/>
      <c r="X61" s="340"/>
      <c r="Y61" s="340"/>
      <c r="Z61" s="340"/>
      <c r="AA61" s="340"/>
      <c r="AB61" s="340"/>
      <c r="AC61" s="340"/>
      <c r="AD61" s="340"/>
      <c r="AE61" s="340"/>
      <c r="AF61" s="340"/>
      <c r="AG61" s="340"/>
      <c r="AH61" s="340"/>
      <c r="AI61" s="340"/>
      <c r="AJ61" s="340"/>
      <c r="AK61" s="340"/>
      <c r="AL61" s="340"/>
      <c r="AM61" s="340"/>
      <c r="AN61" s="340"/>
      <c r="AO61" s="340"/>
      <c r="AP61" s="340"/>
      <c r="AQ61" s="340"/>
      <c r="AR61" s="340"/>
      <c r="AS61" s="353">
        <f t="shared" ref="AS61:AS78" si="13">SUM(H61:AR61)</f>
        <v>35700</v>
      </c>
      <c r="AT61" s="340"/>
      <c r="AU61" s="113"/>
    </row>
    <row r="62">
      <c r="A62" s="45"/>
      <c r="B62" s="368" t="s">
        <v>146</v>
      </c>
      <c r="C62" s="369">
        <v>45880.0</v>
      </c>
      <c r="D62" s="370" t="s">
        <v>493</v>
      </c>
      <c r="E62" s="371">
        <v>45824.0</v>
      </c>
      <c r="F62" s="371">
        <v>46189.0</v>
      </c>
      <c r="G62" s="367" t="s">
        <v>492</v>
      </c>
      <c r="H62" s="16"/>
      <c r="I62" s="340"/>
      <c r="J62" s="340"/>
      <c r="K62" s="340"/>
      <c r="L62" s="340"/>
      <c r="M62" s="340"/>
      <c r="N62" s="340"/>
      <c r="O62" s="340"/>
      <c r="P62" s="340"/>
      <c r="Q62" s="340"/>
      <c r="R62" s="340"/>
      <c r="S62" s="340"/>
      <c r="T62" s="340"/>
      <c r="U62" s="340"/>
      <c r="V62" s="340"/>
      <c r="W62" s="340"/>
      <c r="X62" s="340">
        <f>34000*1.05</f>
        <v>35700</v>
      </c>
      <c r="Y62" s="340"/>
      <c r="Z62" s="340"/>
      <c r="AA62" s="340"/>
      <c r="AB62" s="340"/>
      <c r="AC62" s="340"/>
      <c r="AD62" s="340"/>
      <c r="AE62" s="340"/>
      <c r="AF62" s="340"/>
      <c r="AG62" s="340"/>
      <c r="AH62" s="340"/>
      <c r="AI62" s="340"/>
      <c r="AJ62" s="340"/>
      <c r="AK62" s="340"/>
      <c r="AL62" s="340"/>
      <c r="AM62" s="340"/>
      <c r="AN62" s="340"/>
      <c r="AO62" s="340"/>
      <c r="AP62" s="340"/>
      <c r="AQ62" s="340"/>
      <c r="AR62" s="340"/>
      <c r="AS62" s="353">
        <f t="shared" si="13"/>
        <v>35700</v>
      </c>
      <c r="AT62" s="340"/>
      <c r="AU62" s="113"/>
    </row>
    <row r="63">
      <c r="A63" s="45"/>
      <c r="B63" s="368" t="s">
        <v>494</v>
      </c>
      <c r="C63" s="373">
        <v>45957.0</v>
      </c>
      <c r="D63" s="370" t="s">
        <v>495</v>
      </c>
      <c r="E63" s="371">
        <v>45846.0</v>
      </c>
      <c r="F63" s="371">
        <v>46211.0</v>
      </c>
      <c r="G63" s="374" t="s">
        <v>492</v>
      </c>
      <c r="H63" s="26"/>
      <c r="I63" s="340"/>
      <c r="J63" s="340"/>
      <c r="K63" s="340"/>
      <c r="L63" s="340"/>
      <c r="M63" s="340"/>
      <c r="N63" s="340"/>
      <c r="O63" s="340"/>
      <c r="P63" s="340"/>
      <c r="Q63" s="340"/>
      <c r="R63" s="340"/>
      <c r="S63" s="340"/>
      <c r="T63" s="340"/>
      <c r="U63" s="340"/>
      <c r="V63" s="340"/>
      <c r="W63" s="340"/>
      <c r="X63" s="340"/>
      <c r="Y63" s="340"/>
      <c r="Z63" s="340"/>
      <c r="AA63" s="340">
        <f>34000*1.05</f>
        <v>35700</v>
      </c>
      <c r="AB63" s="340"/>
      <c r="AC63" s="340"/>
      <c r="AD63" s="340"/>
      <c r="AE63" s="340"/>
      <c r="AF63" s="340"/>
      <c r="AG63" s="340"/>
      <c r="AH63" s="340"/>
      <c r="AI63" s="340"/>
      <c r="AJ63" s="91"/>
      <c r="AK63" s="340"/>
      <c r="AL63" s="340"/>
      <c r="AM63" s="340"/>
      <c r="AN63" s="340"/>
      <c r="AO63" s="340"/>
      <c r="AP63" s="340"/>
      <c r="AQ63" s="340"/>
      <c r="AR63" s="340"/>
      <c r="AS63" s="353">
        <f t="shared" si="13"/>
        <v>35700</v>
      </c>
      <c r="AT63" s="340"/>
      <c r="AU63" s="113"/>
    </row>
    <row r="64">
      <c r="A64" s="45"/>
      <c r="B64" s="368" t="s">
        <v>496</v>
      </c>
      <c r="C64" s="234" t="s">
        <v>497</v>
      </c>
      <c r="D64" s="370" t="s">
        <v>496</v>
      </c>
      <c r="E64" s="371">
        <v>46006.0</v>
      </c>
      <c r="F64" s="371">
        <v>46371.0</v>
      </c>
      <c r="G64" s="375" t="s">
        <v>498</v>
      </c>
      <c r="H64" s="16"/>
      <c r="I64" s="340"/>
      <c r="J64" s="340"/>
      <c r="K64" s="340"/>
      <c r="L64" s="340"/>
      <c r="M64" s="340"/>
      <c r="N64" s="340"/>
      <c r="O64" s="340"/>
      <c r="P64" s="340"/>
      <c r="Q64" s="340"/>
      <c r="R64" s="340"/>
      <c r="S64" s="340"/>
      <c r="T64" s="340"/>
      <c r="U64" s="340"/>
      <c r="V64" s="340"/>
      <c r="W64" s="340"/>
      <c r="X64" s="340"/>
      <c r="Y64" s="340"/>
      <c r="Z64" s="340"/>
      <c r="AA64" s="340"/>
      <c r="AB64" s="340"/>
      <c r="AC64" s="340"/>
      <c r="AD64" s="340"/>
      <c r="AE64" s="340"/>
      <c r="AF64" s="340"/>
      <c r="AG64" s="340"/>
      <c r="AH64" s="340"/>
      <c r="AI64" s="340"/>
      <c r="AJ64" s="340"/>
      <c r="AK64" s="340"/>
      <c r="AL64" s="340"/>
      <c r="AM64" s="340"/>
      <c r="AN64" s="340"/>
      <c r="AO64" s="340"/>
      <c r="AP64" s="340">
        <f t="shared" ref="AP64:AP65" si="14">59000*1.05</f>
        <v>61950</v>
      </c>
      <c r="AQ64" s="340"/>
      <c r="AR64" s="340"/>
      <c r="AS64" s="353">
        <f t="shared" si="13"/>
        <v>61950</v>
      </c>
      <c r="AT64" s="340"/>
      <c r="AU64" s="113"/>
    </row>
    <row r="65">
      <c r="A65" s="45"/>
      <c r="B65" s="368" t="s">
        <v>499</v>
      </c>
      <c r="C65" s="234" t="s">
        <v>500</v>
      </c>
      <c r="D65" s="370" t="s">
        <v>501</v>
      </c>
      <c r="E65" s="371">
        <v>46021.0</v>
      </c>
      <c r="F65" s="371">
        <v>46386.0</v>
      </c>
      <c r="G65" s="367" t="s">
        <v>502</v>
      </c>
      <c r="H65" s="16"/>
      <c r="I65" s="340"/>
      <c r="J65" s="340"/>
      <c r="K65" s="340"/>
      <c r="L65" s="340"/>
      <c r="M65" s="340"/>
      <c r="N65" s="340"/>
      <c r="O65" s="340"/>
      <c r="P65" s="340"/>
      <c r="Q65" s="340"/>
      <c r="R65" s="340"/>
      <c r="S65" s="340"/>
      <c r="T65" s="340"/>
      <c r="U65" s="340"/>
      <c r="V65" s="340"/>
      <c r="W65" s="340"/>
      <c r="X65" s="340"/>
      <c r="Y65" s="340"/>
      <c r="Z65" s="340"/>
      <c r="AA65" s="340"/>
      <c r="AB65" s="340"/>
      <c r="AC65" s="340"/>
      <c r="AD65" s="340"/>
      <c r="AE65" s="340"/>
      <c r="AF65" s="340"/>
      <c r="AG65" s="340"/>
      <c r="AH65" s="340"/>
      <c r="AI65" s="340"/>
      <c r="AJ65" s="340"/>
      <c r="AK65" s="340"/>
      <c r="AL65" s="340"/>
      <c r="AM65" s="340"/>
      <c r="AN65" s="340"/>
      <c r="AO65" s="340"/>
      <c r="AP65" s="340">
        <f t="shared" si="14"/>
        <v>61950</v>
      </c>
      <c r="AQ65" s="340"/>
      <c r="AR65" s="340"/>
      <c r="AS65" s="353">
        <f t="shared" si="13"/>
        <v>61950</v>
      </c>
      <c r="AT65" s="340"/>
      <c r="AU65" s="113"/>
    </row>
    <row r="66">
      <c r="A66" s="45"/>
      <c r="B66" s="368" t="s">
        <v>493</v>
      </c>
      <c r="C66" s="369">
        <v>45720.0</v>
      </c>
      <c r="D66" s="370" t="s">
        <v>503</v>
      </c>
      <c r="E66" s="375" t="s">
        <v>504</v>
      </c>
      <c r="F66" s="375" t="s">
        <v>505</v>
      </c>
      <c r="G66" s="367" t="s">
        <v>506</v>
      </c>
      <c r="H66" s="16"/>
      <c r="I66" s="340"/>
      <c r="J66" s="340"/>
      <c r="K66" s="340"/>
      <c r="L66" s="340"/>
      <c r="M66" s="340"/>
      <c r="N66" s="340"/>
      <c r="O66" s="91"/>
      <c r="P66" s="340"/>
      <c r="Q66" s="340"/>
      <c r="R66" s="340"/>
      <c r="S66" s="340"/>
      <c r="T66" s="340"/>
      <c r="U66" s="340"/>
      <c r="V66" s="340"/>
      <c r="W66" s="340"/>
      <c r="X66" s="340"/>
      <c r="Y66" s="340"/>
      <c r="Z66" s="340"/>
      <c r="AA66" s="340"/>
      <c r="AB66" s="340"/>
      <c r="AC66" s="340"/>
      <c r="AD66" s="340">
        <f>34000*1.05</f>
        <v>35700</v>
      </c>
      <c r="AE66" s="340"/>
      <c r="AF66" s="340"/>
      <c r="AG66" s="340"/>
      <c r="AH66" s="340"/>
      <c r="AI66" s="340"/>
      <c r="AJ66" s="340"/>
      <c r="AK66" s="340"/>
      <c r="AL66" s="340"/>
      <c r="AM66" s="340"/>
      <c r="AN66" s="340"/>
      <c r="AO66" s="340"/>
      <c r="AP66" s="340"/>
      <c r="AQ66" s="340"/>
      <c r="AR66" s="340"/>
      <c r="AS66" s="353">
        <f t="shared" si="13"/>
        <v>35700</v>
      </c>
      <c r="AT66" s="340"/>
      <c r="AU66" s="113"/>
    </row>
    <row r="67">
      <c r="A67" s="45"/>
      <c r="B67" s="368" t="s">
        <v>507</v>
      </c>
      <c r="C67" s="369">
        <v>45715.0</v>
      </c>
      <c r="D67" s="370" t="s">
        <v>508</v>
      </c>
      <c r="E67" s="371">
        <v>46000.0</v>
      </c>
      <c r="F67" s="371">
        <v>46365.0</v>
      </c>
      <c r="G67" s="367" t="s">
        <v>498</v>
      </c>
      <c r="H67" s="16"/>
      <c r="I67" s="340"/>
      <c r="J67" s="340"/>
      <c r="K67" s="340"/>
      <c r="L67" s="91"/>
      <c r="M67" s="340"/>
      <c r="N67" s="340"/>
      <c r="O67" s="340"/>
      <c r="P67" s="340"/>
      <c r="Q67" s="340"/>
      <c r="R67" s="340"/>
      <c r="S67" s="340"/>
      <c r="T67" s="340"/>
      <c r="U67" s="340"/>
      <c r="V67" s="340"/>
      <c r="W67" s="340"/>
      <c r="X67" s="340"/>
      <c r="Y67" s="340"/>
      <c r="Z67" s="340"/>
      <c r="AA67" s="340"/>
      <c r="AB67" s="340"/>
      <c r="AC67" s="340"/>
      <c r="AD67" s="340"/>
      <c r="AE67" s="340"/>
      <c r="AF67" s="340"/>
      <c r="AG67" s="340"/>
      <c r="AH67" s="340"/>
      <c r="AI67" s="340"/>
      <c r="AJ67" s="340"/>
      <c r="AK67" s="340"/>
      <c r="AL67" s="340"/>
      <c r="AM67" s="340"/>
      <c r="AN67" s="340"/>
      <c r="AO67" s="340"/>
      <c r="AP67" s="91">
        <v>61950.0</v>
      </c>
      <c r="AQ67" s="340"/>
      <c r="AR67" s="340"/>
      <c r="AS67" s="353">
        <f t="shared" si="13"/>
        <v>61950</v>
      </c>
      <c r="AT67" s="340"/>
      <c r="AU67" s="113"/>
    </row>
    <row r="68">
      <c r="A68" s="45"/>
      <c r="B68" s="376" t="s">
        <v>151</v>
      </c>
      <c r="C68" s="377">
        <v>45807.0</v>
      </c>
      <c r="D68" s="370" t="s">
        <v>509</v>
      </c>
      <c r="E68" s="371">
        <v>45922.0</v>
      </c>
      <c r="F68" s="371">
        <v>46287.0</v>
      </c>
      <c r="G68" s="367" t="s">
        <v>506</v>
      </c>
      <c r="H68" s="16"/>
      <c r="I68" s="340"/>
      <c r="J68" s="340"/>
      <c r="K68" s="340"/>
      <c r="L68" s="340"/>
      <c r="M68" s="340"/>
      <c r="N68" s="340"/>
      <c r="O68" s="340"/>
      <c r="P68" s="340"/>
      <c r="Q68" s="340"/>
      <c r="R68" s="340"/>
      <c r="S68" s="340"/>
      <c r="T68" s="340"/>
      <c r="U68" s="91"/>
      <c r="V68" s="340"/>
      <c r="W68" s="340"/>
      <c r="X68" s="340"/>
      <c r="Y68" s="340"/>
      <c r="Z68" s="340"/>
      <c r="AA68" s="340"/>
      <c r="AB68" s="340"/>
      <c r="AC68" s="340"/>
      <c r="AD68" s="340"/>
      <c r="AE68" s="340"/>
      <c r="AF68" s="340"/>
      <c r="AG68" s="340">
        <f>34000*1.05</f>
        <v>35700</v>
      </c>
      <c r="AH68" s="340"/>
      <c r="AI68" s="340"/>
      <c r="AJ68" s="340"/>
      <c r="AK68" s="340"/>
      <c r="AL68" s="340"/>
      <c r="AM68" s="340"/>
      <c r="AN68" s="340"/>
      <c r="AO68" s="340"/>
      <c r="AP68" s="340"/>
      <c r="AQ68" s="340"/>
      <c r="AR68" s="340"/>
      <c r="AS68" s="353">
        <f t="shared" si="13"/>
        <v>35700</v>
      </c>
      <c r="AT68" s="340"/>
      <c r="AU68" s="113"/>
    </row>
    <row r="69">
      <c r="A69" s="45"/>
      <c r="B69" s="378" t="s">
        <v>510</v>
      </c>
      <c r="C69" s="379">
        <v>46017.0</v>
      </c>
      <c r="D69" s="370" t="s">
        <v>511</v>
      </c>
      <c r="E69" s="371">
        <v>45925.0</v>
      </c>
      <c r="F69" s="371">
        <v>46290.0</v>
      </c>
      <c r="G69" s="374" t="s">
        <v>498</v>
      </c>
      <c r="H69" s="16"/>
      <c r="I69" s="340"/>
      <c r="J69" s="340"/>
      <c r="K69" s="340"/>
      <c r="L69" s="340"/>
      <c r="M69" s="340"/>
      <c r="N69" s="340"/>
      <c r="O69" s="340"/>
      <c r="P69" s="340"/>
      <c r="Q69" s="340"/>
      <c r="R69" s="340"/>
      <c r="S69" s="340"/>
      <c r="T69" s="340"/>
      <c r="U69" s="340"/>
      <c r="V69" s="340"/>
      <c r="W69" s="340"/>
      <c r="X69" s="340"/>
      <c r="Y69" s="340"/>
      <c r="Z69" s="340"/>
      <c r="AA69" s="340"/>
      <c r="AB69" s="340"/>
      <c r="AC69" s="340"/>
      <c r="AD69" s="340"/>
      <c r="AE69" s="340"/>
      <c r="AF69" s="340"/>
      <c r="AG69" s="340">
        <f>59000*1.05</f>
        <v>61950</v>
      </c>
      <c r="AH69" s="340"/>
      <c r="AI69" s="340"/>
      <c r="AJ69" s="340"/>
      <c r="AK69" s="340"/>
      <c r="AL69" s="340"/>
      <c r="AM69" s="340"/>
      <c r="AN69" s="340"/>
      <c r="AO69" s="340"/>
      <c r="AP69" s="91"/>
      <c r="AQ69" s="340"/>
      <c r="AR69" s="340"/>
      <c r="AS69" s="353">
        <f t="shared" si="13"/>
        <v>61950</v>
      </c>
      <c r="AT69" s="340"/>
      <c r="AU69" s="113"/>
    </row>
    <row r="70">
      <c r="A70" s="45"/>
      <c r="B70" s="378" t="s">
        <v>512</v>
      </c>
      <c r="C70" s="377">
        <v>45877.0</v>
      </c>
      <c r="D70" s="370" t="s">
        <v>494</v>
      </c>
      <c r="E70" s="371">
        <v>46000.0</v>
      </c>
      <c r="F70" s="371">
        <v>46365.0</v>
      </c>
      <c r="G70" s="367" t="s">
        <v>498</v>
      </c>
      <c r="H70" s="16"/>
      <c r="I70" s="340"/>
      <c r="J70" s="340"/>
      <c r="K70" s="340"/>
      <c r="L70" s="340"/>
      <c r="M70" s="340"/>
      <c r="N70" s="340"/>
      <c r="O70" s="340"/>
      <c r="P70" s="340"/>
      <c r="Q70" s="340"/>
      <c r="R70" s="340"/>
      <c r="S70" s="340"/>
      <c r="T70" s="340"/>
      <c r="U70" s="340"/>
      <c r="V70" s="340"/>
      <c r="W70" s="340"/>
      <c r="X70" s="340"/>
      <c r="Y70" s="340"/>
      <c r="Z70" s="340"/>
      <c r="AA70" s="340"/>
      <c r="AB70" s="340"/>
      <c r="AC70" s="340"/>
      <c r="AD70" s="91"/>
      <c r="AE70" s="340"/>
      <c r="AF70" s="340"/>
      <c r="AG70" s="340"/>
      <c r="AH70" s="340"/>
      <c r="AI70" s="340"/>
      <c r="AJ70" s="340"/>
      <c r="AK70" s="340"/>
      <c r="AL70" s="340"/>
      <c r="AM70" s="340"/>
      <c r="AN70" s="340"/>
      <c r="AO70" s="340"/>
      <c r="AP70" s="91">
        <v>61950.0</v>
      </c>
      <c r="AQ70" s="340"/>
      <c r="AR70" s="340"/>
      <c r="AS70" s="353">
        <f t="shared" si="13"/>
        <v>61950</v>
      </c>
      <c r="AT70" s="340"/>
      <c r="AU70" s="113"/>
    </row>
    <row r="71">
      <c r="A71" s="45"/>
      <c r="B71" s="378" t="s">
        <v>513</v>
      </c>
      <c r="C71" s="380">
        <v>46259.0</v>
      </c>
      <c r="D71" s="370" t="s">
        <v>514</v>
      </c>
      <c r="E71" s="371">
        <v>45986.0</v>
      </c>
      <c r="F71" s="371">
        <v>46351.0</v>
      </c>
      <c r="G71" s="367" t="s">
        <v>515</v>
      </c>
      <c r="H71" s="16"/>
      <c r="I71" s="340"/>
      <c r="J71" s="340"/>
      <c r="K71" s="340"/>
      <c r="L71" s="340"/>
      <c r="M71" s="340"/>
      <c r="N71" s="340"/>
      <c r="O71" s="340"/>
      <c r="P71" s="340"/>
      <c r="Q71" s="340"/>
      <c r="R71" s="340"/>
      <c r="S71" s="340"/>
      <c r="T71" s="340"/>
      <c r="U71" s="340"/>
      <c r="V71" s="340"/>
      <c r="W71" s="340"/>
      <c r="X71" s="340"/>
      <c r="Y71" s="340"/>
      <c r="Z71" s="340"/>
      <c r="AA71" s="340"/>
      <c r="AB71" s="340"/>
      <c r="AC71" s="340"/>
      <c r="AD71" s="91"/>
      <c r="AE71" s="340"/>
      <c r="AF71" s="340"/>
      <c r="AG71" s="340"/>
      <c r="AH71" s="340"/>
      <c r="AI71" s="340"/>
      <c r="AJ71" s="340"/>
      <c r="AK71" s="340"/>
      <c r="AL71" s="340"/>
      <c r="AM71" s="91">
        <v>61950.0</v>
      </c>
      <c r="AN71" s="340"/>
      <c r="AO71" s="340"/>
      <c r="AP71" s="340"/>
      <c r="AQ71" s="340"/>
      <c r="AR71" s="340"/>
      <c r="AS71" s="353">
        <f t="shared" si="13"/>
        <v>61950</v>
      </c>
      <c r="AT71" s="340"/>
      <c r="AU71" s="113"/>
    </row>
    <row r="72">
      <c r="A72" s="45"/>
      <c r="B72" s="378" t="s">
        <v>516</v>
      </c>
      <c r="C72" s="377">
        <v>45896.0</v>
      </c>
      <c r="D72" s="370" t="s">
        <v>517</v>
      </c>
      <c r="E72" s="371">
        <v>45987.0</v>
      </c>
      <c r="F72" s="371">
        <v>45987.0</v>
      </c>
      <c r="G72" s="367" t="s">
        <v>515</v>
      </c>
      <c r="H72" s="16"/>
      <c r="I72" s="340"/>
      <c r="J72" s="340"/>
      <c r="K72" s="340"/>
      <c r="L72" s="340"/>
      <c r="M72" s="340"/>
      <c r="N72" s="340"/>
      <c r="O72" s="340"/>
      <c r="P72" s="340"/>
      <c r="Q72" s="340"/>
      <c r="R72" s="340"/>
      <c r="S72" s="340"/>
      <c r="T72" s="340"/>
      <c r="U72" s="340"/>
      <c r="V72" s="340"/>
      <c r="W72" s="340"/>
      <c r="X72" s="340"/>
      <c r="Y72" s="340"/>
      <c r="Z72" s="340"/>
      <c r="AA72" s="340"/>
      <c r="AB72" s="340"/>
      <c r="AC72" s="340"/>
      <c r="AD72" s="91"/>
      <c r="AE72" s="340"/>
      <c r="AF72" s="340"/>
      <c r="AG72" s="340"/>
      <c r="AH72" s="340"/>
      <c r="AI72" s="340"/>
      <c r="AJ72" s="340"/>
      <c r="AK72" s="340"/>
      <c r="AL72" s="340"/>
      <c r="AM72" s="91">
        <v>61950.0</v>
      </c>
      <c r="AN72" s="340"/>
      <c r="AO72" s="340"/>
      <c r="AP72" s="340"/>
      <c r="AQ72" s="340"/>
      <c r="AR72" s="340"/>
      <c r="AS72" s="353">
        <f t="shared" si="13"/>
        <v>61950</v>
      </c>
      <c r="AT72" s="340"/>
      <c r="AU72" s="113"/>
    </row>
    <row r="73">
      <c r="A73" s="45"/>
      <c r="B73" s="378" t="s">
        <v>518</v>
      </c>
      <c r="C73" s="378" t="s">
        <v>519</v>
      </c>
      <c r="D73" s="370" t="s">
        <v>520</v>
      </c>
      <c r="E73" s="371">
        <v>46045.0</v>
      </c>
      <c r="F73" s="371">
        <v>46045.0</v>
      </c>
      <c r="G73" s="367" t="s">
        <v>521</v>
      </c>
      <c r="H73" s="91"/>
      <c r="I73" s="340"/>
      <c r="J73" s="340"/>
      <c r="K73" s="340"/>
      <c r="L73" s="340"/>
      <c r="M73" s="340"/>
      <c r="N73" s="340"/>
      <c r="O73" s="340"/>
      <c r="P73" s="340"/>
      <c r="Q73" s="340"/>
      <c r="R73" s="340"/>
      <c r="S73" s="340"/>
      <c r="T73" s="340"/>
      <c r="U73" s="340"/>
      <c r="V73" s="340"/>
      <c r="W73" s="340"/>
      <c r="X73" s="340"/>
      <c r="Y73" s="340"/>
      <c r="Z73" s="340"/>
      <c r="AA73" s="340"/>
      <c r="AB73" s="340"/>
      <c r="AC73" s="340"/>
      <c r="AD73" s="340"/>
      <c r="AE73" s="340"/>
      <c r="AF73" s="340"/>
      <c r="AG73" s="340"/>
      <c r="AH73" s="340"/>
      <c r="AI73" s="340"/>
      <c r="AJ73" s="340"/>
      <c r="AK73" s="340"/>
      <c r="AL73" s="340"/>
      <c r="AM73" s="91"/>
      <c r="AN73" s="340"/>
      <c r="AO73" s="340"/>
      <c r="AP73" s="340"/>
      <c r="AQ73" s="340"/>
      <c r="AR73" s="340"/>
      <c r="AS73" s="353">
        <f t="shared" si="13"/>
        <v>0</v>
      </c>
      <c r="AT73" s="340"/>
      <c r="AU73" s="113"/>
    </row>
    <row r="74">
      <c r="A74" s="45"/>
      <c r="B74" s="101" t="s">
        <v>173</v>
      </c>
      <c r="C74" s="101" t="s">
        <v>522</v>
      </c>
      <c r="E74" s="98"/>
      <c r="F74" s="98"/>
      <c r="G74" s="98"/>
      <c r="H74" s="91">
        <v>53100.0</v>
      </c>
      <c r="I74" s="340"/>
      <c r="J74" s="340"/>
      <c r="K74" s="340"/>
      <c r="L74" s="340"/>
      <c r="M74" s="340"/>
      <c r="N74" s="340"/>
      <c r="O74" s="340"/>
      <c r="P74" s="340"/>
      <c r="Q74" s="340"/>
      <c r="R74" s="340"/>
      <c r="S74" s="340"/>
      <c r="T74" s="340"/>
      <c r="U74" s="340"/>
      <c r="V74" s="340"/>
      <c r="W74" s="340"/>
      <c r="X74" s="340"/>
      <c r="Y74" s="340"/>
      <c r="Z74" s="340"/>
      <c r="AA74" s="340"/>
      <c r="AB74" s="340"/>
      <c r="AC74" s="340"/>
      <c r="AD74" s="340"/>
      <c r="AE74" s="340"/>
      <c r="AF74" s="340"/>
      <c r="AG74" s="340"/>
      <c r="AH74" s="340"/>
      <c r="AI74" s="340"/>
      <c r="AJ74" s="340"/>
      <c r="AK74" s="340"/>
      <c r="AL74" s="340"/>
      <c r="AM74" s="340"/>
      <c r="AN74" s="340"/>
      <c r="AO74" s="340"/>
      <c r="AP74" s="340"/>
      <c r="AQ74" s="340"/>
      <c r="AR74" s="340"/>
      <c r="AS74" s="353">
        <f t="shared" si="13"/>
        <v>53100</v>
      </c>
      <c r="AT74" s="340"/>
      <c r="AU74" s="113"/>
    </row>
    <row r="75">
      <c r="A75" s="45"/>
      <c r="B75" s="101" t="s">
        <v>211</v>
      </c>
      <c r="C75" s="381">
        <v>46050.0</v>
      </c>
      <c r="E75" s="98"/>
      <c r="F75" s="98"/>
      <c r="G75" s="98"/>
      <c r="H75" s="91"/>
      <c r="I75" s="91">
        <v>61950.0</v>
      </c>
      <c r="J75" s="340"/>
      <c r="K75" s="340"/>
      <c r="L75" s="91">
        <v>61950.0</v>
      </c>
      <c r="M75" s="340"/>
      <c r="N75" s="340"/>
      <c r="O75" s="91">
        <v>61950.0</v>
      </c>
      <c r="P75" s="340"/>
      <c r="Q75" s="340"/>
      <c r="R75" s="91">
        <v>61950.0</v>
      </c>
      <c r="S75" s="340"/>
      <c r="T75" s="340"/>
      <c r="U75" s="91">
        <v>61950.0</v>
      </c>
      <c r="V75" s="340"/>
      <c r="W75" s="340"/>
      <c r="X75" s="91">
        <v>61950.0</v>
      </c>
      <c r="Y75" s="340"/>
      <c r="Z75" s="340"/>
      <c r="AA75" s="91">
        <v>61950.0</v>
      </c>
      <c r="AB75" s="340"/>
      <c r="AC75" s="340"/>
      <c r="AD75" s="91">
        <v>61950.0</v>
      </c>
      <c r="AE75" s="340"/>
      <c r="AF75" s="340"/>
      <c r="AG75" s="91">
        <v>61950.0</v>
      </c>
      <c r="AH75" s="340"/>
      <c r="AI75" s="340"/>
      <c r="AJ75" s="91">
        <v>61950.0</v>
      </c>
      <c r="AK75" s="340"/>
      <c r="AL75" s="340"/>
      <c r="AM75" s="91">
        <v>61950.0</v>
      </c>
      <c r="AN75" s="340"/>
      <c r="AO75" s="340"/>
      <c r="AP75" s="91">
        <v>61950.0</v>
      </c>
      <c r="AQ75" s="340"/>
      <c r="AR75" s="340"/>
      <c r="AS75" s="353">
        <f t="shared" si="13"/>
        <v>743400</v>
      </c>
      <c r="AT75" s="340"/>
      <c r="AU75" s="113"/>
    </row>
    <row r="76">
      <c r="A76" s="45"/>
      <c r="B76" s="101" t="s">
        <v>523</v>
      </c>
      <c r="C76" s="98"/>
      <c r="D76" s="98"/>
      <c r="E76" s="98"/>
      <c r="F76" s="98"/>
      <c r="G76" s="98"/>
      <c r="H76" s="340"/>
      <c r="I76" s="91">
        <v>61950.0</v>
      </c>
      <c r="J76" s="340"/>
      <c r="K76" s="340"/>
      <c r="L76" s="91">
        <v>61950.0</v>
      </c>
      <c r="M76" s="340"/>
      <c r="N76" s="340"/>
      <c r="O76" s="91">
        <v>61950.0</v>
      </c>
      <c r="P76" s="340"/>
      <c r="Q76" s="340"/>
      <c r="R76" s="340"/>
      <c r="S76" s="340"/>
      <c r="T76" s="340"/>
      <c r="U76" s="340"/>
      <c r="V76" s="340"/>
      <c r="W76" s="340"/>
      <c r="X76" s="91">
        <v>61950.0</v>
      </c>
      <c r="Y76" s="340"/>
      <c r="Z76" s="340"/>
      <c r="AA76" s="91">
        <v>61950.0</v>
      </c>
      <c r="AB76" s="340"/>
      <c r="AC76" s="340"/>
      <c r="AD76" s="91">
        <v>61950.0</v>
      </c>
      <c r="AE76" s="340"/>
      <c r="AF76" s="340"/>
      <c r="AG76" s="91">
        <v>61950.0</v>
      </c>
      <c r="AH76" s="340"/>
      <c r="AI76" s="340"/>
      <c r="AJ76" s="91">
        <v>61950.0</v>
      </c>
      <c r="AK76" s="340"/>
      <c r="AL76" s="340"/>
      <c r="AM76" s="340"/>
      <c r="AN76" s="340"/>
      <c r="AO76" s="340"/>
      <c r="AP76" s="340"/>
      <c r="AQ76" s="340"/>
      <c r="AR76" s="340"/>
      <c r="AS76" s="353">
        <f t="shared" si="13"/>
        <v>495600</v>
      </c>
      <c r="AT76" s="340"/>
      <c r="AU76" s="113"/>
    </row>
    <row r="77">
      <c r="A77" s="45"/>
      <c r="B77" s="101" t="s">
        <v>221</v>
      </c>
      <c r="C77" s="98"/>
      <c r="D77" s="98"/>
      <c r="E77" s="98"/>
      <c r="F77" s="98"/>
      <c r="G77" s="98"/>
      <c r="H77" s="340"/>
      <c r="I77" s="340"/>
      <c r="J77" s="91"/>
      <c r="K77" s="340"/>
      <c r="L77" s="91"/>
      <c r="M77" s="340"/>
      <c r="N77" s="340"/>
      <c r="O77" s="91">
        <v>100000.0</v>
      </c>
      <c r="P77" s="340"/>
      <c r="Q77" s="340"/>
      <c r="R77" s="91"/>
      <c r="S77" s="340"/>
      <c r="T77" s="340"/>
      <c r="U77" s="340"/>
      <c r="V77" s="340"/>
      <c r="W77" s="340"/>
      <c r="X77" s="91">
        <v>100000.0</v>
      </c>
      <c r="Y77" s="340"/>
      <c r="Z77" s="340"/>
      <c r="AA77" s="340"/>
      <c r="AB77" s="340"/>
      <c r="AC77" s="340"/>
      <c r="AD77" s="91"/>
      <c r="AE77" s="340"/>
      <c r="AF77" s="340"/>
      <c r="AG77" s="340"/>
      <c r="AH77" s="340"/>
      <c r="AI77" s="340"/>
      <c r="AJ77" s="340"/>
      <c r="AK77" s="340"/>
      <c r="AL77" s="340"/>
      <c r="AM77" s="91">
        <v>100000.0</v>
      </c>
      <c r="AN77" s="340"/>
      <c r="AO77" s="340"/>
      <c r="AP77" s="340"/>
      <c r="AQ77" s="340"/>
      <c r="AR77" s="340"/>
      <c r="AS77" s="353">
        <f t="shared" si="13"/>
        <v>300000</v>
      </c>
      <c r="AT77" s="340"/>
      <c r="AU77" s="113"/>
    </row>
    <row r="78">
      <c r="A78" s="45"/>
      <c r="B78" s="101" t="s">
        <v>524</v>
      </c>
      <c r="C78" s="98"/>
      <c r="D78" s="98"/>
      <c r="E78" s="98"/>
      <c r="F78" s="98"/>
      <c r="G78" s="98"/>
      <c r="H78" s="340"/>
      <c r="I78" s="340"/>
      <c r="J78" s="340"/>
      <c r="K78" s="340"/>
      <c r="L78" s="340"/>
      <c r="M78" s="340"/>
      <c r="N78" s="340"/>
      <c r="O78" s="340"/>
      <c r="P78" s="340"/>
      <c r="Q78" s="340"/>
      <c r="R78" s="340"/>
      <c r="S78" s="340"/>
      <c r="T78" s="340"/>
      <c r="U78" s="340"/>
      <c r="V78" s="340"/>
      <c r="W78" s="340"/>
      <c r="X78" s="340"/>
      <c r="Y78" s="340"/>
      <c r="Z78" s="340"/>
      <c r="AA78" s="340"/>
      <c r="AB78" s="340"/>
      <c r="AC78" s="340"/>
      <c r="AD78" s="340"/>
      <c r="AE78" s="340"/>
      <c r="AF78" s="340"/>
      <c r="AG78" s="340"/>
      <c r="AH78" s="340"/>
      <c r="AI78" s="340"/>
      <c r="AJ78" s="340"/>
      <c r="AK78" s="340"/>
      <c r="AL78" s="340"/>
      <c r="AM78" s="340"/>
      <c r="AN78" s="340"/>
      <c r="AO78" s="340"/>
      <c r="AP78" s="340"/>
      <c r="AQ78" s="340"/>
      <c r="AR78" s="340"/>
      <c r="AS78" s="353">
        <f t="shared" si="13"/>
        <v>0</v>
      </c>
      <c r="AT78" s="340"/>
      <c r="AU78" s="113"/>
    </row>
    <row r="79">
      <c r="A79" s="45"/>
      <c r="B79" s="382" t="s">
        <v>77</v>
      </c>
      <c r="C79" s="383"/>
      <c r="D79" s="383"/>
      <c r="E79" s="383"/>
      <c r="F79" s="383"/>
      <c r="G79" s="383"/>
      <c r="H79" s="386">
        <f t="shared" ref="H79:AR79" si="15">SUM(H60:H78)</f>
        <v>53100</v>
      </c>
      <c r="I79" s="386">
        <f t="shared" si="15"/>
        <v>123900</v>
      </c>
      <c r="J79" s="386">
        <f t="shared" si="15"/>
        <v>0</v>
      </c>
      <c r="K79" s="386">
        <f t="shared" si="15"/>
        <v>0</v>
      </c>
      <c r="L79" s="386">
        <f t="shared" si="15"/>
        <v>123900</v>
      </c>
      <c r="M79" s="386">
        <f t="shared" si="15"/>
        <v>0</v>
      </c>
      <c r="N79" s="386">
        <f t="shared" si="15"/>
        <v>0</v>
      </c>
      <c r="O79" s="386">
        <f t="shared" si="15"/>
        <v>223900</v>
      </c>
      <c r="P79" s="386">
        <f t="shared" si="15"/>
        <v>0</v>
      </c>
      <c r="Q79" s="386">
        <f t="shared" si="15"/>
        <v>0</v>
      </c>
      <c r="R79" s="386">
        <f t="shared" si="15"/>
        <v>97650</v>
      </c>
      <c r="S79" s="386">
        <f t="shared" si="15"/>
        <v>0</v>
      </c>
      <c r="T79" s="386">
        <f t="shared" si="15"/>
        <v>0</v>
      </c>
      <c r="U79" s="386">
        <f t="shared" si="15"/>
        <v>61950</v>
      </c>
      <c r="V79" s="386">
        <f t="shared" si="15"/>
        <v>0</v>
      </c>
      <c r="W79" s="386">
        <f t="shared" si="15"/>
        <v>0</v>
      </c>
      <c r="X79" s="386">
        <f t="shared" si="15"/>
        <v>259600</v>
      </c>
      <c r="Y79" s="386">
        <f t="shared" si="15"/>
        <v>0</v>
      </c>
      <c r="Z79" s="386">
        <f t="shared" si="15"/>
        <v>0</v>
      </c>
      <c r="AA79" s="386">
        <f t="shared" si="15"/>
        <v>159600</v>
      </c>
      <c r="AB79" s="386">
        <f t="shared" si="15"/>
        <v>0</v>
      </c>
      <c r="AC79" s="386">
        <f t="shared" si="15"/>
        <v>0</v>
      </c>
      <c r="AD79" s="386">
        <f t="shared" si="15"/>
        <v>159600</v>
      </c>
      <c r="AE79" s="386">
        <f t="shared" si="15"/>
        <v>0</v>
      </c>
      <c r="AF79" s="386">
        <f t="shared" si="15"/>
        <v>0</v>
      </c>
      <c r="AG79" s="386">
        <f t="shared" si="15"/>
        <v>221550</v>
      </c>
      <c r="AH79" s="386">
        <f t="shared" si="15"/>
        <v>0</v>
      </c>
      <c r="AI79" s="386">
        <f t="shared" si="15"/>
        <v>0</v>
      </c>
      <c r="AJ79" s="386">
        <f t="shared" si="15"/>
        <v>123900</v>
      </c>
      <c r="AK79" s="386">
        <f t="shared" si="15"/>
        <v>0</v>
      </c>
      <c r="AL79" s="386">
        <f t="shared" si="15"/>
        <v>0</v>
      </c>
      <c r="AM79" s="386">
        <f t="shared" si="15"/>
        <v>285850</v>
      </c>
      <c r="AN79" s="386">
        <f t="shared" si="15"/>
        <v>0</v>
      </c>
      <c r="AO79" s="386">
        <f t="shared" si="15"/>
        <v>0</v>
      </c>
      <c r="AP79" s="386">
        <f t="shared" si="15"/>
        <v>309750</v>
      </c>
      <c r="AQ79" s="386">
        <f t="shared" si="15"/>
        <v>0</v>
      </c>
      <c r="AR79" s="386">
        <f t="shared" si="15"/>
        <v>0</v>
      </c>
      <c r="AS79" s="386">
        <f>SUM(AS61:AS78)</f>
        <v>2204250</v>
      </c>
      <c r="AT79" s="91"/>
      <c r="AU79" s="113"/>
    </row>
    <row r="80">
      <c r="A80" s="45"/>
      <c r="B80" s="45"/>
      <c r="C80" s="45"/>
      <c r="D80" s="45"/>
      <c r="E80" s="45"/>
      <c r="F80" s="45"/>
      <c r="G80" s="45"/>
      <c r="H80" s="340"/>
      <c r="I80" s="340"/>
      <c r="J80" s="340"/>
      <c r="K80" s="340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1"/>
      <c r="AR80" s="91"/>
      <c r="AS80" s="91"/>
      <c r="AT80" s="389"/>
      <c r="AU80" s="113"/>
    </row>
    <row r="81">
      <c r="A81" s="45"/>
      <c r="B81" s="46" t="s">
        <v>87</v>
      </c>
      <c r="D81" s="47"/>
      <c r="E81" s="47"/>
      <c r="F81" s="47"/>
      <c r="G81" s="47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347"/>
      <c r="AR81" s="347"/>
      <c r="AS81" s="347"/>
      <c r="AT81" s="347"/>
      <c r="AU81" s="45"/>
    </row>
    <row r="82">
      <c r="A82" s="45"/>
      <c r="B82" s="57"/>
      <c r="C82" s="391"/>
      <c r="D82" s="391"/>
      <c r="E82" s="391"/>
      <c r="F82" s="391"/>
      <c r="G82" s="391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55"/>
      <c r="AR82" s="55"/>
      <c r="AS82" s="55"/>
      <c r="AT82" s="55"/>
      <c r="AU82" s="45"/>
    </row>
    <row r="83">
      <c r="A83" s="45"/>
      <c r="B83" s="98"/>
      <c r="C83" s="98"/>
      <c r="D83" s="98"/>
      <c r="E83" s="98"/>
      <c r="F83" s="98"/>
      <c r="G83" s="98"/>
      <c r="H83" s="78" t="s">
        <v>11</v>
      </c>
      <c r="I83" s="57"/>
      <c r="J83" s="57"/>
      <c r="K83" s="57"/>
      <c r="L83" s="78" t="s">
        <v>12</v>
      </c>
      <c r="M83" s="57"/>
      <c r="N83" s="57"/>
      <c r="O83" s="78" t="s">
        <v>13</v>
      </c>
      <c r="P83" s="57"/>
      <c r="Q83" s="57"/>
      <c r="R83" s="78" t="s">
        <v>14</v>
      </c>
      <c r="S83" s="57"/>
      <c r="T83" s="57"/>
      <c r="U83" s="78" t="s">
        <v>15</v>
      </c>
      <c r="V83" s="57"/>
      <c r="W83" s="57"/>
      <c r="X83" s="78" t="s">
        <v>16</v>
      </c>
      <c r="Y83" s="57"/>
      <c r="Z83" s="57"/>
      <c r="AA83" s="78" t="s">
        <v>17</v>
      </c>
      <c r="AB83" s="57"/>
      <c r="AC83" s="57"/>
      <c r="AD83" s="78" t="s">
        <v>18</v>
      </c>
      <c r="AE83" s="57"/>
      <c r="AF83" s="57"/>
      <c r="AG83" s="78" t="s">
        <v>19</v>
      </c>
      <c r="AH83" s="57"/>
      <c r="AI83" s="57"/>
      <c r="AJ83" s="78" t="s">
        <v>20</v>
      </c>
      <c r="AK83" s="57"/>
      <c r="AL83" s="57"/>
      <c r="AM83" s="78" t="s">
        <v>21</v>
      </c>
      <c r="AN83" s="57"/>
      <c r="AO83" s="57"/>
      <c r="AP83" s="78" t="s">
        <v>22</v>
      </c>
      <c r="AQ83" s="340"/>
      <c r="AR83" s="340"/>
      <c r="AS83" s="340"/>
      <c r="AT83" s="91" t="s">
        <v>29</v>
      </c>
      <c r="AU83" s="113"/>
    </row>
    <row r="84">
      <c r="A84" s="45"/>
      <c r="B84" s="101" t="s">
        <v>104</v>
      </c>
      <c r="C84" s="98"/>
      <c r="D84" s="98"/>
      <c r="E84" s="98"/>
      <c r="F84" s="98"/>
      <c r="G84" s="98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  <c r="AA84" s="112"/>
      <c r="AB84" s="112"/>
      <c r="AC84" s="112"/>
      <c r="AD84" s="112"/>
      <c r="AE84" s="112"/>
      <c r="AF84" s="112"/>
      <c r="AG84" s="112"/>
      <c r="AH84" s="112"/>
      <c r="AI84" s="112"/>
      <c r="AJ84" s="112"/>
      <c r="AK84" s="112"/>
      <c r="AL84" s="112"/>
      <c r="AM84" s="112"/>
      <c r="AN84" s="112"/>
      <c r="AO84" s="112"/>
      <c r="AP84" s="112"/>
      <c r="AQ84" s="112"/>
      <c r="AR84" s="112"/>
      <c r="AS84" s="112"/>
      <c r="AT84" s="112"/>
      <c r="AU84" s="113"/>
    </row>
    <row r="85">
      <c r="A85" s="45"/>
      <c r="B85" s="101" t="s">
        <v>113</v>
      </c>
      <c r="C85" s="98"/>
      <c r="D85" s="98"/>
      <c r="E85" s="98"/>
      <c r="F85" s="98"/>
      <c r="G85" s="98"/>
      <c r="H85" s="112">
        <f t="shared" ref="H85:AT85" si="16">H43*0.5*(-1)</f>
        <v>-35900</v>
      </c>
      <c r="I85" s="112">
        <f t="shared" si="16"/>
        <v>0</v>
      </c>
      <c r="J85" s="112">
        <f t="shared" si="16"/>
        <v>0</v>
      </c>
      <c r="K85" s="112">
        <f t="shared" si="16"/>
        <v>0</v>
      </c>
      <c r="L85" s="112">
        <f t="shared" si="16"/>
        <v>-110700</v>
      </c>
      <c r="M85" s="112">
        <f t="shared" si="16"/>
        <v>0</v>
      </c>
      <c r="N85" s="112">
        <f t="shared" si="16"/>
        <v>0</v>
      </c>
      <c r="O85" s="112">
        <f t="shared" si="16"/>
        <v>-82000</v>
      </c>
      <c r="P85" s="112">
        <f t="shared" si="16"/>
        <v>0</v>
      </c>
      <c r="Q85" s="112">
        <f t="shared" si="16"/>
        <v>0</v>
      </c>
      <c r="R85" s="112">
        <f t="shared" si="16"/>
        <v>-50000</v>
      </c>
      <c r="S85" s="112">
        <f t="shared" si="16"/>
        <v>0</v>
      </c>
      <c r="T85" s="112">
        <f t="shared" si="16"/>
        <v>0</v>
      </c>
      <c r="U85" s="112">
        <f t="shared" si="16"/>
        <v>-25000</v>
      </c>
      <c r="V85" s="112">
        <f t="shared" si="16"/>
        <v>0</v>
      </c>
      <c r="W85" s="112">
        <f t="shared" si="16"/>
        <v>0</v>
      </c>
      <c r="X85" s="112">
        <f t="shared" si="16"/>
        <v>-50000</v>
      </c>
      <c r="Y85" s="112">
        <f t="shared" si="16"/>
        <v>0</v>
      </c>
      <c r="Z85" s="112">
        <f t="shared" si="16"/>
        <v>0</v>
      </c>
      <c r="AA85" s="112">
        <f t="shared" si="16"/>
        <v>-107500</v>
      </c>
      <c r="AB85" s="112">
        <f t="shared" si="16"/>
        <v>0</v>
      </c>
      <c r="AC85" s="112">
        <f t="shared" si="16"/>
        <v>0</v>
      </c>
      <c r="AD85" s="112">
        <f t="shared" si="16"/>
        <v>-80000</v>
      </c>
      <c r="AE85" s="112">
        <f t="shared" si="16"/>
        <v>0</v>
      </c>
      <c r="AF85" s="112">
        <f t="shared" si="16"/>
        <v>0</v>
      </c>
      <c r="AG85" s="112">
        <f t="shared" si="16"/>
        <v>-50000</v>
      </c>
      <c r="AH85" s="112">
        <f t="shared" si="16"/>
        <v>0</v>
      </c>
      <c r="AI85" s="112">
        <f t="shared" si="16"/>
        <v>0</v>
      </c>
      <c r="AJ85" s="112">
        <f t="shared" si="16"/>
        <v>-50000</v>
      </c>
      <c r="AK85" s="112">
        <f t="shared" si="16"/>
        <v>0</v>
      </c>
      <c r="AL85" s="112">
        <f t="shared" si="16"/>
        <v>0</v>
      </c>
      <c r="AM85" s="112">
        <f t="shared" si="16"/>
        <v>-77500</v>
      </c>
      <c r="AN85" s="112">
        <f t="shared" si="16"/>
        <v>0</v>
      </c>
      <c r="AO85" s="112">
        <f t="shared" si="16"/>
        <v>0</v>
      </c>
      <c r="AP85" s="112">
        <f t="shared" si="16"/>
        <v>-80000</v>
      </c>
      <c r="AQ85" s="112">
        <f t="shared" si="16"/>
        <v>0</v>
      </c>
      <c r="AR85" s="112">
        <f t="shared" si="16"/>
        <v>0</v>
      </c>
      <c r="AS85" s="112">
        <f t="shared" si="16"/>
        <v>-798600</v>
      </c>
      <c r="AT85" s="112">
        <f t="shared" si="16"/>
        <v>0</v>
      </c>
      <c r="AU85" s="93" t="s">
        <v>27</v>
      </c>
    </row>
    <row r="86">
      <c r="A86" s="45"/>
      <c r="B86" s="78" t="s">
        <v>117</v>
      </c>
      <c r="C86" s="57"/>
      <c r="D86" s="57"/>
      <c r="E86" s="57"/>
      <c r="F86" s="57"/>
      <c r="G86" s="57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  <c r="AA86" s="112"/>
      <c r="AB86" s="112"/>
      <c r="AC86" s="112"/>
      <c r="AD86" s="112"/>
      <c r="AE86" s="112"/>
      <c r="AF86" s="112"/>
      <c r="AG86" s="112"/>
      <c r="AH86" s="112"/>
      <c r="AI86" s="112"/>
      <c r="AJ86" s="112"/>
      <c r="AK86" s="112"/>
      <c r="AL86" s="112"/>
      <c r="AM86" s="112"/>
      <c r="AN86" s="112"/>
      <c r="AO86" s="112"/>
      <c r="AP86" s="112"/>
      <c r="AQ86" s="112"/>
      <c r="AR86" s="112"/>
      <c r="AS86" s="112"/>
      <c r="AT86" s="112"/>
      <c r="AU86" s="93" t="s">
        <v>27</v>
      </c>
    </row>
    <row r="87">
      <c r="A87" s="45"/>
      <c r="B87" s="78" t="s">
        <v>123</v>
      </c>
      <c r="C87" s="57"/>
      <c r="D87" s="57"/>
      <c r="E87" s="57"/>
      <c r="F87" s="57"/>
      <c r="G87" s="57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  <c r="AA87" s="112"/>
      <c r="AB87" s="112"/>
      <c r="AC87" s="112"/>
      <c r="AD87" s="112"/>
      <c r="AE87" s="112"/>
      <c r="AF87" s="112"/>
      <c r="AG87" s="112"/>
      <c r="AH87" s="112"/>
      <c r="AI87" s="112"/>
      <c r="AJ87" s="112"/>
      <c r="AK87" s="112"/>
      <c r="AL87" s="112"/>
      <c r="AM87" s="112"/>
      <c r="AN87" s="112"/>
      <c r="AO87" s="112"/>
      <c r="AP87" s="112"/>
      <c r="AQ87" s="112"/>
      <c r="AR87" s="112"/>
      <c r="AS87" s="112"/>
      <c r="AT87" s="112"/>
      <c r="AU87" s="93" t="s">
        <v>27</v>
      </c>
    </row>
    <row r="88">
      <c r="A88" s="45"/>
      <c r="B88" s="78" t="s">
        <v>131</v>
      </c>
      <c r="C88" s="57"/>
      <c r="D88" s="57"/>
      <c r="E88" s="57"/>
      <c r="F88" s="57"/>
      <c r="G88" s="57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  <c r="AK88" s="112"/>
      <c r="AL88" s="112"/>
      <c r="AM88" s="112"/>
      <c r="AN88" s="112"/>
      <c r="AO88" s="112"/>
      <c r="AP88" s="112"/>
      <c r="AQ88" s="112"/>
      <c r="AR88" s="112"/>
      <c r="AS88" s="112"/>
      <c r="AT88" s="112"/>
      <c r="AU88" s="93" t="s">
        <v>27</v>
      </c>
    </row>
    <row r="89">
      <c r="A89" s="45"/>
      <c r="B89" s="45"/>
      <c r="C89" s="45"/>
      <c r="D89" s="45"/>
      <c r="E89" s="45"/>
      <c r="F89" s="45"/>
      <c r="G89" s="45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  <c r="AA89" s="112"/>
      <c r="AB89" s="112"/>
      <c r="AC89" s="112"/>
      <c r="AD89" s="112"/>
      <c r="AE89" s="112"/>
      <c r="AF89" s="112"/>
      <c r="AG89" s="112"/>
      <c r="AH89" s="112"/>
      <c r="AI89" s="112"/>
      <c r="AJ89" s="112"/>
      <c r="AK89" s="112"/>
      <c r="AL89" s="112"/>
      <c r="AM89" s="112"/>
      <c r="AN89" s="112"/>
      <c r="AO89" s="112"/>
      <c r="AP89" s="112"/>
      <c r="AQ89" s="112"/>
      <c r="AR89" s="112"/>
      <c r="AS89" s="112"/>
      <c r="AT89" s="112"/>
      <c r="AU89" s="93" t="s">
        <v>54</v>
      </c>
    </row>
    <row r="90">
      <c r="A90" s="45"/>
      <c r="B90" s="46" t="s">
        <v>138</v>
      </c>
      <c r="E90" s="47"/>
      <c r="F90" s="47"/>
      <c r="G90" s="47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  <c r="AA90" s="112"/>
      <c r="AB90" s="112"/>
      <c r="AC90" s="112"/>
      <c r="AD90" s="112"/>
      <c r="AE90" s="112"/>
      <c r="AF90" s="112"/>
      <c r="AG90" s="112"/>
      <c r="AH90" s="112"/>
      <c r="AI90" s="112"/>
      <c r="AJ90" s="112"/>
      <c r="AK90" s="112"/>
      <c r="AL90" s="112"/>
      <c r="AM90" s="112"/>
      <c r="AN90" s="112"/>
      <c r="AO90" s="112"/>
      <c r="AP90" s="112"/>
      <c r="AQ90" s="112"/>
      <c r="AR90" s="112"/>
      <c r="AS90" s="112"/>
      <c r="AT90" s="112"/>
      <c r="AU90" s="93" t="s">
        <v>9</v>
      </c>
    </row>
    <row r="91">
      <c r="A91" s="45"/>
      <c r="B91" s="57"/>
      <c r="C91" s="57"/>
      <c r="D91" s="57"/>
      <c r="E91" s="57"/>
      <c r="F91" s="57"/>
      <c r="G91" s="57"/>
      <c r="H91" s="340"/>
      <c r="I91" s="340"/>
      <c r="J91" s="340"/>
      <c r="K91" s="340"/>
      <c r="L91" s="340"/>
      <c r="M91" s="340"/>
      <c r="N91" s="340"/>
      <c r="O91" s="340"/>
      <c r="P91" s="340"/>
      <c r="Q91" s="340"/>
      <c r="R91" s="340"/>
      <c r="S91" s="340"/>
      <c r="T91" s="340"/>
      <c r="U91" s="340"/>
      <c r="V91" s="340"/>
      <c r="W91" s="340"/>
      <c r="X91" s="340"/>
      <c r="Y91" s="340"/>
      <c r="Z91" s="340"/>
      <c r="AA91" s="340"/>
      <c r="AB91" s="340"/>
      <c r="AC91" s="340"/>
      <c r="AD91" s="340"/>
      <c r="AE91" s="340"/>
      <c r="AF91" s="340"/>
      <c r="AG91" s="340"/>
      <c r="AH91" s="340"/>
      <c r="AI91" s="340"/>
      <c r="AJ91" s="340"/>
      <c r="AK91" s="340"/>
      <c r="AL91" s="340"/>
      <c r="AM91" s="340"/>
      <c r="AN91" s="57"/>
      <c r="AO91" s="57"/>
      <c r="AP91" s="57"/>
      <c r="AQ91" s="340"/>
      <c r="AR91" s="340"/>
      <c r="AS91" s="340"/>
      <c r="AT91" s="340"/>
      <c r="AU91" s="113"/>
    </row>
    <row r="92">
      <c r="A92" s="45"/>
      <c r="B92" s="98"/>
      <c r="C92" s="98"/>
      <c r="D92" s="98"/>
      <c r="E92" s="98"/>
      <c r="F92" s="98"/>
      <c r="G92" s="98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  <c r="AM92" s="57"/>
      <c r="AN92" s="57"/>
      <c r="AO92" s="57"/>
      <c r="AP92" s="57"/>
      <c r="AQ92" s="340"/>
      <c r="AR92" s="340"/>
      <c r="AS92" s="340"/>
      <c r="AT92" s="340"/>
      <c r="AU92" s="113"/>
    </row>
    <row r="93">
      <c r="A93" s="45"/>
      <c r="B93" s="101" t="s">
        <v>141</v>
      </c>
      <c r="C93" s="98"/>
      <c r="D93" s="98"/>
      <c r="E93" s="98"/>
      <c r="F93" s="98"/>
      <c r="G93" s="98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  <c r="AM93" s="57"/>
      <c r="AN93" s="57"/>
      <c r="AO93" s="57"/>
      <c r="AP93" s="57"/>
      <c r="AQ93" s="340"/>
      <c r="AR93" s="340"/>
      <c r="AS93" s="340"/>
      <c r="AT93" s="340"/>
      <c r="AU93" s="113"/>
    </row>
    <row r="94">
      <c r="A94" s="45"/>
      <c r="B94" s="101" t="s">
        <v>150</v>
      </c>
      <c r="C94" s="394"/>
      <c r="D94" s="394"/>
      <c r="E94" s="394"/>
      <c r="F94" s="394"/>
      <c r="G94" s="394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347"/>
      <c r="AR94" s="347"/>
      <c r="AS94" s="347"/>
      <c r="AT94" s="347"/>
      <c r="AU94" s="45"/>
    </row>
    <row r="95">
      <c r="A95" s="45"/>
      <c r="B95" s="101" t="s">
        <v>154</v>
      </c>
      <c r="C95" s="394"/>
      <c r="D95" s="394"/>
      <c r="E95" s="394"/>
      <c r="F95" s="394"/>
      <c r="G95" s="394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55"/>
      <c r="AR95" s="55"/>
      <c r="AS95" s="55"/>
      <c r="AT95" s="55"/>
      <c r="AU95" s="45"/>
    </row>
    <row r="96">
      <c r="A96" s="45"/>
      <c r="B96" s="101" t="s">
        <v>156</v>
      </c>
      <c r="C96" s="98"/>
      <c r="D96" s="98"/>
      <c r="E96" s="98"/>
      <c r="F96" s="98"/>
      <c r="G96" s="98"/>
      <c r="H96" s="78" t="s">
        <v>11</v>
      </c>
      <c r="I96" s="57"/>
      <c r="J96" s="57"/>
      <c r="K96" s="57"/>
      <c r="L96" s="78" t="s">
        <v>12</v>
      </c>
      <c r="M96" s="57"/>
      <c r="N96" s="57"/>
      <c r="O96" s="78" t="s">
        <v>13</v>
      </c>
      <c r="P96" s="57"/>
      <c r="Q96" s="57"/>
      <c r="R96" s="78" t="s">
        <v>14</v>
      </c>
      <c r="S96" s="57"/>
      <c r="T96" s="57"/>
      <c r="U96" s="78" t="s">
        <v>15</v>
      </c>
      <c r="V96" s="57"/>
      <c r="W96" s="57"/>
      <c r="X96" s="78" t="s">
        <v>16</v>
      </c>
      <c r="Y96" s="57"/>
      <c r="Z96" s="57"/>
      <c r="AA96" s="78" t="s">
        <v>17</v>
      </c>
      <c r="AB96" s="57"/>
      <c r="AC96" s="57"/>
      <c r="AD96" s="78" t="s">
        <v>18</v>
      </c>
      <c r="AE96" s="57"/>
      <c r="AF96" s="57"/>
      <c r="AG96" s="78" t="s">
        <v>19</v>
      </c>
      <c r="AH96" s="57"/>
      <c r="AI96" s="57"/>
      <c r="AJ96" s="78" t="s">
        <v>20</v>
      </c>
      <c r="AK96" s="57"/>
      <c r="AL96" s="57"/>
      <c r="AM96" s="78" t="s">
        <v>21</v>
      </c>
      <c r="AN96" s="57"/>
      <c r="AO96" s="57"/>
      <c r="AP96" s="78" t="s">
        <v>22</v>
      </c>
      <c r="AQ96" s="340"/>
      <c r="AR96" s="340"/>
      <c r="AS96" s="340"/>
      <c r="AT96" s="91" t="s">
        <v>29</v>
      </c>
      <c r="AU96" s="113"/>
    </row>
    <row r="97">
      <c r="A97" s="45"/>
      <c r="B97" s="101" t="s">
        <v>159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  <c r="AH97" s="98"/>
      <c r="AI97" s="98"/>
      <c r="AJ97" s="98"/>
      <c r="AK97" s="98"/>
      <c r="AL97" s="98"/>
      <c r="AM97" s="98"/>
      <c r="AN97" s="98"/>
      <c r="AO97" s="98"/>
      <c r="AP97" s="98"/>
      <c r="AQ97" s="112"/>
      <c r="AR97" s="112"/>
      <c r="AS97" s="112"/>
      <c r="AT97" s="112"/>
      <c r="AU97" s="113"/>
    </row>
    <row r="98">
      <c r="A98" s="45"/>
      <c r="B98" s="101" t="s">
        <v>163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  <c r="AH98" s="98"/>
      <c r="AI98" s="98"/>
      <c r="AJ98" s="98"/>
      <c r="AK98" s="98"/>
      <c r="AL98" s="98"/>
      <c r="AM98" s="98"/>
      <c r="AN98" s="98"/>
      <c r="AO98" s="98"/>
      <c r="AP98" s="98"/>
      <c r="AQ98" s="112"/>
      <c r="AR98" s="112"/>
      <c r="AS98" s="112"/>
      <c r="AT98" s="112"/>
      <c r="AU98" s="93" t="s">
        <v>58</v>
      </c>
    </row>
    <row r="99">
      <c r="A99" s="45"/>
      <c r="B99" s="78" t="s">
        <v>165</v>
      </c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  <c r="AM99" s="57"/>
      <c r="AN99" s="57"/>
      <c r="AO99" s="57"/>
      <c r="AP99" s="57"/>
      <c r="AQ99" s="340"/>
      <c r="AR99" s="340"/>
      <c r="AS99" s="340"/>
      <c r="AT99" s="340"/>
      <c r="AU99" s="113"/>
    </row>
    <row r="100">
      <c r="A100" s="45"/>
      <c r="B100" s="78" t="s">
        <v>123</v>
      </c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  <c r="AM100" s="57"/>
      <c r="AN100" s="57"/>
      <c r="AO100" s="57"/>
      <c r="AP100" s="57"/>
      <c r="AQ100" s="340"/>
      <c r="AR100" s="340"/>
      <c r="AS100" s="340"/>
      <c r="AT100" s="340"/>
      <c r="AU100" s="113"/>
    </row>
    <row r="101">
      <c r="A101" s="45"/>
      <c r="B101" s="78" t="s">
        <v>131</v>
      </c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  <c r="AM101" s="57"/>
      <c r="AN101" s="57"/>
      <c r="AO101" s="57"/>
      <c r="AP101" s="57"/>
      <c r="AQ101" s="340"/>
      <c r="AR101" s="340"/>
      <c r="AS101" s="340"/>
      <c r="AT101" s="340"/>
      <c r="AU101" s="113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347"/>
      <c r="AR102" s="347"/>
      <c r="AS102" s="347"/>
      <c r="AT102" s="347"/>
      <c r="AU102" s="45"/>
    </row>
    <row r="103">
      <c r="A103" s="45"/>
      <c r="B103" s="46" t="s">
        <v>193</v>
      </c>
      <c r="E103" s="47"/>
      <c r="F103" s="47"/>
      <c r="G103" s="47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55"/>
      <c r="AR103" s="55"/>
      <c r="AS103" s="55"/>
      <c r="AT103" s="55"/>
      <c r="AU103" s="45"/>
    </row>
    <row r="104">
      <c r="A104" s="45"/>
      <c r="B104" s="57"/>
      <c r="C104" s="57"/>
      <c r="D104" s="57"/>
      <c r="E104" s="57"/>
      <c r="F104" s="57"/>
      <c r="G104" s="57"/>
      <c r="H104" s="78" t="s">
        <v>11</v>
      </c>
      <c r="I104" s="57"/>
      <c r="J104" s="57"/>
      <c r="K104" s="57"/>
      <c r="L104" s="78" t="s">
        <v>12</v>
      </c>
      <c r="M104" s="57"/>
      <c r="N104" s="57"/>
      <c r="O104" s="78" t="s">
        <v>13</v>
      </c>
      <c r="P104" s="57"/>
      <c r="Q104" s="57"/>
      <c r="R104" s="78" t="s">
        <v>14</v>
      </c>
      <c r="S104" s="57"/>
      <c r="T104" s="57"/>
      <c r="U104" s="78" t="s">
        <v>15</v>
      </c>
      <c r="V104" s="57"/>
      <c r="W104" s="57"/>
      <c r="X104" s="78" t="s">
        <v>16</v>
      </c>
      <c r="Y104" s="57"/>
      <c r="Z104" s="57"/>
      <c r="AA104" s="78" t="s">
        <v>17</v>
      </c>
      <c r="AB104" s="57"/>
      <c r="AC104" s="57"/>
      <c r="AD104" s="78" t="s">
        <v>18</v>
      </c>
      <c r="AE104" s="57"/>
      <c r="AF104" s="57"/>
      <c r="AG104" s="78" t="s">
        <v>19</v>
      </c>
      <c r="AH104" s="57"/>
      <c r="AI104" s="57"/>
      <c r="AJ104" s="78" t="s">
        <v>20</v>
      </c>
      <c r="AK104" s="57"/>
      <c r="AL104" s="57"/>
      <c r="AM104" s="78" t="s">
        <v>21</v>
      </c>
      <c r="AN104" s="57"/>
      <c r="AO104" s="57"/>
      <c r="AP104" s="78" t="s">
        <v>22</v>
      </c>
      <c r="AQ104" s="340"/>
      <c r="AR104" s="340"/>
      <c r="AS104" s="340"/>
      <c r="AT104" s="91" t="s">
        <v>29</v>
      </c>
      <c r="AU104" s="113"/>
    </row>
    <row r="105">
      <c r="A105" s="45"/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112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  <c r="AH105" s="98"/>
      <c r="AI105" s="98"/>
      <c r="AJ105" s="98"/>
      <c r="AK105" s="98"/>
      <c r="AL105" s="98"/>
      <c r="AM105" s="98"/>
      <c r="AN105" s="98"/>
      <c r="AO105" s="98"/>
      <c r="AP105" s="98"/>
      <c r="AQ105" s="112"/>
      <c r="AR105" s="112"/>
      <c r="AS105" s="112"/>
      <c r="AT105" s="112"/>
      <c r="AU105" s="113"/>
    </row>
    <row r="106">
      <c r="A106" s="45"/>
      <c r="B106" s="101" t="s">
        <v>194</v>
      </c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112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  <c r="AH106" s="98"/>
      <c r="AI106" s="98"/>
      <c r="AJ106" s="98"/>
      <c r="AK106" s="98"/>
      <c r="AL106" s="98"/>
      <c r="AM106" s="98"/>
      <c r="AN106" s="98"/>
      <c r="AO106" s="98"/>
      <c r="AP106" s="98"/>
      <c r="AQ106" s="112"/>
      <c r="AR106" s="112"/>
      <c r="AS106" s="112"/>
      <c r="AT106" s="121" t="s">
        <v>528</v>
      </c>
      <c r="AU106" s="93" t="s">
        <v>9</v>
      </c>
    </row>
    <row r="107">
      <c r="A107" s="45"/>
      <c r="B107" s="78" t="s">
        <v>198</v>
      </c>
      <c r="C107" s="57"/>
      <c r="D107" s="57"/>
      <c r="E107" s="57"/>
      <c r="F107" s="57"/>
      <c r="G107" s="57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98"/>
      <c r="AL107" s="98"/>
      <c r="AM107" s="98"/>
      <c r="AN107" s="112"/>
      <c r="AO107" s="112"/>
      <c r="AP107" s="112"/>
      <c r="AQ107" s="112"/>
      <c r="AR107" s="112"/>
      <c r="AS107" s="112"/>
      <c r="AT107" s="121" t="s">
        <v>529</v>
      </c>
      <c r="AU107" s="93" t="s">
        <v>58</v>
      </c>
    </row>
    <row r="108">
      <c r="A108" s="45"/>
      <c r="B108" s="78" t="s">
        <v>123</v>
      </c>
      <c r="C108" s="57"/>
      <c r="D108" s="57"/>
      <c r="E108" s="57"/>
      <c r="F108" s="57"/>
      <c r="G108" s="57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98"/>
      <c r="AL108" s="98"/>
      <c r="AM108" s="98"/>
      <c r="AN108" s="112"/>
      <c r="AO108" s="112"/>
      <c r="AP108" s="112"/>
      <c r="AQ108" s="112"/>
      <c r="AR108" s="112"/>
      <c r="AS108" s="112"/>
      <c r="AT108" s="121" t="s">
        <v>529</v>
      </c>
      <c r="AU108" s="93" t="s">
        <v>58</v>
      </c>
    </row>
    <row r="109">
      <c r="A109" s="45"/>
      <c r="B109" s="78" t="s">
        <v>131</v>
      </c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340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  <c r="AM109" s="57"/>
      <c r="AN109" s="57"/>
      <c r="AO109" s="57"/>
      <c r="AP109" s="57"/>
      <c r="AQ109" s="340"/>
      <c r="AR109" s="340"/>
      <c r="AS109" s="340"/>
      <c r="AT109" s="91" t="s">
        <v>530</v>
      </c>
      <c r="AU109" s="113"/>
    </row>
    <row r="110">
      <c r="A110" s="45"/>
      <c r="B110" s="45"/>
      <c r="C110" s="45"/>
      <c r="D110" s="45"/>
      <c r="E110" s="45"/>
      <c r="F110" s="45"/>
      <c r="G110" s="45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  <c r="AM110" s="57"/>
      <c r="AN110" s="57"/>
      <c r="AO110" s="57"/>
      <c r="AP110" s="57"/>
      <c r="AQ110" s="340"/>
      <c r="AR110" s="340"/>
      <c r="AS110" s="340"/>
      <c r="AT110" s="91" t="s">
        <v>531</v>
      </c>
      <c r="AU110" s="113"/>
    </row>
    <row r="111">
      <c r="A111" s="45"/>
      <c r="B111" s="46" t="s">
        <v>220</v>
      </c>
      <c r="E111" s="47"/>
      <c r="F111" s="47"/>
      <c r="G111" s="4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  <c r="AM111" s="57"/>
      <c r="AN111" s="57"/>
      <c r="AO111" s="57"/>
      <c r="AP111" s="57"/>
      <c r="AQ111" s="340"/>
      <c r="AR111" s="340"/>
      <c r="AS111" s="340"/>
      <c r="AT111" s="389">
        <v>0.3425</v>
      </c>
      <c r="AU111" s="113"/>
    </row>
    <row r="112">
      <c r="A112" s="45"/>
      <c r="B112" s="57"/>
      <c r="C112" s="391"/>
      <c r="D112" s="391"/>
      <c r="E112" s="391"/>
      <c r="F112" s="391"/>
      <c r="G112" s="391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347"/>
      <c r="AR112" s="347"/>
      <c r="AS112" s="347"/>
      <c r="AT112" s="347"/>
      <c r="AU112" s="45"/>
    </row>
    <row r="113">
      <c r="A113" s="45"/>
      <c r="B113" s="98"/>
      <c r="C113" s="394"/>
      <c r="D113" s="394"/>
      <c r="E113" s="394"/>
      <c r="F113" s="394"/>
      <c r="G113" s="394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55"/>
      <c r="AR113" s="55"/>
      <c r="AS113" s="55"/>
      <c r="AT113" s="55"/>
      <c r="AU113" s="45"/>
    </row>
    <row r="114">
      <c r="A114" s="45"/>
      <c r="B114" s="101" t="s">
        <v>222</v>
      </c>
      <c r="C114" s="98"/>
      <c r="D114" s="98"/>
      <c r="E114" s="98"/>
      <c r="F114" s="98"/>
      <c r="G114" s="98"/>
      <c r="H114" s="78" t="s">
        <v>11</v>
      </c>
      <c r="I114" s="57"/>
      <c r="J114" s="57"/>
      <c r="K114" s="57"/>
      <c r="L114" s="78" t="s">
        <v>12</v>
      </c>
      <c r="M114" s="57"/>
      <c r="N114" s="57"/>
      <c r="O114" s="78" t="s">
        <v>13</v>
      </c>
      <c r="P114" s="57"/>
      <c r="Q114" s="57"/>
      <c r="R114" s="78" t="s">
        <v>14</v>
      </c>
      <c r="S114" s="57"/>
      <c r="T114" s="57"/>
      <c r="U114" s="78" t="s">
        <v>15</v>
      </c>
      <c r="V114" s="57"/>
      <c r="W114" s="57"/>
      <c r="X114" s="78" t="s">
        <v>16</v>
      </c>
      <c r="Y114" s="57"/>
      <c r="Z114" s="57"/>
      <c r="AA114" s="78" t="s">
        <v>17</v>
      </c>
      <c r="AB114" s="57"/>
      <c r="AC114" s="57"/>
      <c r="AD114" s="78" t="s">
        <v>18</v>
      </c>
      <c r="AE114" s="57"/>
      <c r="AF114" s="57"/>
      <c r="AG114" s="78" t="s">
        <v>19</v>
      </c>
      <c r="AH114" s="57"/>
      <c r="AI114" s="57"/>
      <c r="AJ114" s="78" t="s">
        <v>20</v>
      </c>
      <c r="AK114" s="57"/>
      <c r="AL114" s="57"/>
      <c r="AM114" s="78" t="s">
        <v>21</v>
      </c>
      <c r="AN114" s="57"/>
      <c r="AO114" s="57"/>
      <c r="AP114" s="78" t="s">
        <v>22</v>
      </c>
      <c r="AQ114" s="340"/>
      <c r="AR114" s="340"/>
      <c r="AS114" s="340"/>
      <c r="AT114" s="91" t="s">
        <v>29</v>
      </c>
      <c r="AU114" s="113"/>
    </row>
    <row r="115">
      <c r="A115" s="45"/>
      <c r="B115" s="101" t="s">
        <v>235</v>
      </c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  <c r="AH115" s="98"/>
      <c r="AI115" s="98"/>
      <c r="AJ115" s="98"/>
      <c r="AK115" s="98"/>
      <c r="AL115" s="98"/>
      <c r="AM115" s="98"/>
      <c r="AN115" s="98"/>
      <c r="AO115" s="98"/>
      <c r="AP115" s="98"/>
      <c r="AQ115" s="112"/>
      <c r="AR115" s="112"/>
      <c r="AS115" s="112"/>
      <c r="AT115" s="112"/>
      <c r="AU115" s="113"/>
    </row>
    <row r="116">
      <c r="A116" s="45"/>
      <c r="B116" s="101" t="s">
        <v>238</v>
      </c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  <c r="AH116" s="98"/>
      <c r="AI116" s="98"/>
      <c r="AJ116" s="98"/>
      <c r="AK116" s="98"/>
      <c r="AL116" s="98"/>
      <c r="AM116" s="98"/>
      <c r="AN116" s="98"/>
      <c r="AO116" s="98"/>
      <c r="AP116" s="98"/>
      <c r="AQ116" s="112"/>
      <c r="AR116" s="112"/>
      <c r="AS116" s="112"/>
      <c r="AT116" s="121" t="s">
        <v>546</v>
      </c>
      <c r="AU116" s="93" t="s">
        <v>54</v>
      </c>
    </row>
    <row r="117">
      <c r="A117" s="45"/>
      <c r="B117" s="78" t="s">
        <v>242</v>
      </c>
      <c r="C117" s="57"/>
      <c r="D117" s="57"/>
      <c r="E117" s="57"/>
      <c r="F117" s="57"/>
      <c r="G117" s="57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  <c r="AH117" s="98"/>
      <c r="AI117" s="98"/>
      <c r="AJ117" s="98"/>
      <c r="AK117" s="98"/>
      <c r="AL117" s="98"/>
      <c r="AM117" s="98"/>
      <c r="AN117" s="98"/>
      <c r="AO117" s="98"/>
      <c r="AP117" s="98"/>
      <c r="AQ117" s="112"/>
      <c r="AR117" s="112"/>
      <c r="AS117" s="112"/>
      <c r="AT117" s="121" t="s">
        <v>547</v>
      </c>
      <c r="AU117" s="93" t="s">
        <v>66</v>
      </c>
    </row>
    <row r="118">
      <c r="A118" s="45"/>
      <c r="B118" s="78" t="s">
        <v>123</v>
      </c>
      <c r="C118" s="57"/>
      <c r="D118" s="57"/>
      <c r="E118" s="57"/>
      <c r="F118" s="57"/>
      <c r="G118" s="57"/>
      <c r="H118" s="98"/>
      <c r="I118" s="98"/>
      <c r="J118" s="98"/>
      <c r="K118" s="98"/>
      <c r="L118" s="98"/>
      <c r="M118" s="98"/>
      <c r="N118" s="98"/>
      <c r="O118" s="98"/>
      <c r="P118" s="112"/>
      <c r="Q118" s="112"/>
      <c r="R118" s="112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  <c r="AH118" s="98"/>
      <c r="AI118" s="98"/>
      <c r="AJ118" s="98"/>
      <c r="AK118" s="98"/>
      <c r="AL118" s="98"/>
      <c r="AM118" s="98"/>
      <c r="AN118" s="112"/>
      <c r="AO118" s="112"/>
      <c r="AP118" s="112"/>
      <c r="AQ118" s="112"/>
      <c r="AR118" s="112"/>
      <c r="AS118" s="112"/>
      <c r="AT118" s="121" t="s">
        <v>548</v>
      </c>
      <c r="AU118" s="93" t="s">
        <v>54</v>
      </c>
    </row>
    <row r="119">
      <c r="A119" s="45"/>
      <c r="B119" s="78" t="s">
        <v>131</v>
      </c>
      <c r="C119" s="57"/>
      <c r="D119" s="57"/>
      <c r="E119" s="57"/>
      <c r="F119" s="57"/>
      <c r="G119" s="57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  <c r="AH119" s="98"/>
      <c r="AI119" s="98"/>
      <c r="AJ119" s="98"/>
      <c r="AK119" s="98"/>
      <c r="AL119" s="98"/>
      <c r="AM119" s="98"/>
      <c r="AN119" s="98"/>
      <c r="AO119" s="98"/>
      <c r="AP119" s="98"/>
      <c r="AQ119" s="112"/>
      <c r="AR119" s="112"/>
      <c r="AS119" s="112"/>
      <c r="AT119" s="121" t="s">
        <v>529</v>
      </c>
      <c r="AU119" s="93" t="s">
        <v>54</v>
      </c>
    </row>
    <row r="120">
      <c r="A120" s="45"/>
      <c r="B120" s="45"/>
      <c r="C120" s="45"/>
      <c r="D120" s="45"/>
      <c r="E120" s="45"/>
      <c r="F120" s="45"/>
      <c r="G120" s="45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112"/>
      <c r="W120" s="112"/>
      <c r="X120" s="112"/>
      <c r="Y120" s="98"/>
      <c r="Z120" s="98"/>
      <c r="AA120" s="98"/>
      <c r="AB120" s="98"/>
      <c r="AC120" s="98"/>
      <c r="AD120" s="98"/>
      <c r="AE120" s="98"/>
      <c r="AF120" s="98"/>
      <c r="AG120" s="98"/>
      <c r="AH120" s="98"/>
      <c r="AI120" s="98"/>
      <c r="AJ120" s="98"/>
      <c r="AK120" s="98"/>
      <c r="AL120" s="98"/>
      <c r="AM120" s="98"/>
      <c r="AN120" s="98"/>
      <c r="AO120" s="98"/>
      <c r="AP120" s="98"/>
      <c r="AQ120" s="112"/>
      <c r="AR120" s="112"/>
      <c r="AS120" s="112"/>
      <c r="AT120" s="121" t="s">
        <v>549</v>
      </c>
      <c r="AU120" s="93" t="s">
        <v>66</v>
      </c>
    </row>
    <row r="121">
      <c r="A121" s="45"/>
      <c r="B121" s="46" t="s">
        <v>274</v>
      </c>
      <c r="D121" s="47"/>
      <c r="E121" s="47"/>
      <c r="F121" s="47"/>
      <c r="G121" s="47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  <c r="AH121" s="98"/>
      <c r="AI121" s="98"/>
      <c r="AJ121" s="98"/>
      <c r="AK121" s="98"/>
      <c r="AL121" s="98"/>
      <c r="AM121" s="98"/>
      <c r="AN121" s="98"/>
      <c r="AO121" s="98"/>
      <c r="AP121" s="98"/>
      <c r="AQ121" s="112"/>
      <c r="AR121" s="112"/>
      <c r="AS121" s="112"/>
      <c r="AT121" s="121" t="s">
        <v>550</v>
      </c>
      <c r="AU121" s="93" t="s">
        <v>66</v>
      </c>
    </row>
    <row r="122">
      <c r="A122" s="45"/>
      <c r="B122" s="57"/>
      <c r="C122" s="57"/>
      <c r="D122" s="57"/>
      <c r="E122" s="57"/>
      <c r="F122" s="57"/>
      <c r="G122" s="57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  <c r="AH122" s="98"/>
      <c r="AI122" s="98"/>
      <c r="AJ122" s="98"/>
      <c r="AK122" s="98"/>
      <c r="AL122" s="98"/>
      <c r="AM122" s="98"/>
      <c r="AN122" s="98"/>
      <c r="AO122" s="98"/>
      <c r="AP122" s="98"/>
      <c r="AQ122" s="112"/>
      <c r="AR122" s="112"/>
      <c r="AS122" s="112"/>
      <c r="AT122" s="121" t="s">
        <v>551</v>
      </c>
      <c r="AU122" s="93" t="s">
        <v>58</v>
      </c>
    </row>
    <row r="123">
      <c r="A123" s="45"/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  <c r="AH123" s="98"/>
      <c r="AI123" s="98"/>
      <c r="AJ123" s="98"/>
      <c r="AK123" s="98"/>
      <c r="AL123" s="98"/>
      <c r="AM123" s="98"/>
      <c r="AN123" s="98"/>
      <c r="AO123" s="98"/>
      <c r="AP123" s="98"/>
      <c r="AQ123" s="112"/>
      <c r="AR123" s="112"/>
      <c r="AS123" s="112"/>
      <c r="AT123" s="121" t="s">
        <v>280</v>
      </c>
      <c r="AU123" s="93" t="s">
        <v>54</v>
      </c>
    </row>
    <row r="124">
      <c r="A124" s="45"/>
      <c r="B124" s="101" t="s">
        <v>276</v>
      </c>
      <c r="C124" s="98"/>
      <c r="D124" s="98"/>
      <c r="E124" s="98"/>
      <c r="F124" s="98"/>
      <c r="G124" s="98"/>
      <c r="H124" s="112"/>
      <c r="I124" s="112"/>
      <c r="J124" s="112"/>
      <c r="K124" s="112"/>
      <c r="L124" s="112"/>
      <c r="M124" s="112"/>
      <c r="N124" s="112"/>
      <c r="O124" s="112"/>
      <c r="P124" s="98"/>
      <c r="Q124" s="98"/>
      <c r="R124" s="98"/>
      <c r="S124" s="112"/>
      <c r="T124" s="112"/>
      <c r="U124" s="112"/>
      <c r="V124" s="112"/>
      <c r="W124" s="112"/>
      <c r="X124" s="112"/>
      <c r="Y124" s="98"/>
      <c r="Z124" s="98"/>
      <c r="AA124" s="98"/>
      <c r="AB124" s="98"/>
      <c r="AC124" s="98"/>
      <c r="AD124" s="98"/>
      <c r="AE124" s="112"/>
      <c r="AF124" s="112"/>
      <c r="AG124" s="112"/>
      <c r="AH124" s="112"/>
      <c r="AI124" s="112"/>
      <c r="AJ124" s="112"/>
      <c r="AK124" s="98"/>
      <c r="AL124" s="98"/>
      <c r="AM124" s="98"/>
      <c r="AN124" s="112"/>
      <c r="AO124" s="112"/>
      <c r="AP124" s="112"/>
      <c r="AQ124" s="112"/>
      <c r="AR124" s="112"/>
      <c r="AS124" s="112"/>
      <c r="AT124" s="121" t="s">
        <v>280</v>
      </c>
      <c r="AU124" s="93" t="s">
        <v>58</v>
      </c>
    </row>
    <row r="125">
      <c r="A125" s="45"/>
      <c r="B125" s="101" t="s">
        <v>284</v>
      </c>
      <c r="C125" s="98"/>
      <c r="D125" s="98"/>
      <c r="E125" s="98"/>
      <c r="F125" s="98"/>
      <c r="G125" s="98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  <c r="AA125" s="112"/>
      <c r="AB125" s="98"/>
      <c r="AC125" s="98"/>
      <c r="AD125" s="98"/>
      <c r="AE125" s="98"/>
      <c r="AF125" s="98"/>
      <c r="AG125" s="98"/>
      <c r="AH125" s="98"/>
      <c r="AI125" s="98"/>
      <c r="AJ125" s="98"/>
      <c r="AK125" s="98"/>
      <c r="AL125" s="98"/>
      <c r="AM125" s="98"/>
      <c r="AN125" s="98"/>
      <c r="AO125" s="98"/>
      <c r="AP125" s="98"/>
      <c r="AQ125" s="112"/>
      <c r="AR125" s="112"/>
      <c r="AS125" s="112"/>
      <c r="AT125" s="121" t="s">
        <v>546</v>
      </c>
      <c r="AU125" s="93" t="s">
        <v>54</v>
      </c>
    </row>
    <row r="126">
      <c r="A126" s="45"/>
      <c r="B126" s="101" t="s">
        <v>288</v>
      </c>
      <c r="C126" s="98"/>
      <c r="D126" s="98"/>
      <c r="E126" s="98"/>
      <c r="F126" s="98"/>
      <c r="G126" s="98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  <c r="AM126" s="57"/>
      <c r="AN126" s="57"/>
      <c r="AO126" s="57"/>
      <c r="AP126" s="57"/>
      <c r="AQ126" s="340"/>
      <c r="AR126" s="340"/>
      <c r="AS126" s="340"/>
      <c r="AT126" s="91" t="s">
        <v>552</v>
      </c>
      <c r="AU126" s="113"/>
    </row>
    <row r="127">
      <c r="A127" s="45"/>
      <c r="B127" s="101" t="s">
        <v>302</v>
      </c>
      <c r="C127" s="98"/>
      <c r="D127" s="98"/>
      <c r="E127" s="98"/>
      <c r="F127" s="98"/>
      <c r="G127" s="98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  <c r="AM127" s="57"/>
      <c r="AN127" s="57"/>
      <c r="AO127" s="57"/>
      <c r="AP127" s="57"/>
      <c r="AQ127" s="340"/>
      <c r="AR127" s="340"/>
      <c r="AS127" s="340"/>
      <c r="AT127" s="91" t="s">
        <v>553</v>
      </c>
      <c r="AU127" s="113"/>
    </row>
    <row r="128">
      <c r="A128" s="45"/>
      <c r="B128" s="101" t="s">
        <v>306</v>
      </c>
      <c r="C128" s="98"/>
      <c r="D128" s="98"/>
      <c r="E128" s="98"/>
      <c r="F128" s="98"/>
      <c r="G128" s="98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  <c r="AM128" s="57"/>
      <c r="AN128" s="57"/>
      <c r="AO128" s="57"/>
      <c r="AP128" s="57"/>
      <c r="AQ128" s="340"/>
      <c r="AR128" s="340"/>
      <c r="AS128" s="340"/>
      <c r="AT128" s="389">
        <v>0.0796</v>
      </c>
      <c r="AU128" s="113"/>
    </row>
    <row r="129">
      <c r="A129" s="45"/>
      <c r="B129" s="101" t="s">
        <v>315</v>
      </c>
      <c r="C129" s="394"/>
      <c r="D129" s="394"/>
      <c r="E129" s="394"/>
      <c r="F129" s="394"/>
      <c r="G129" s="394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347"/>
      <c r="AR129" s="347"/>
      <c r="AS129" s="347"/>
      <c r="AT129" s="347"/>
      <c r="AU129" s="45"/>
    </row>
    <row r="130">
      <c r="A130" s="45"/>
      <c r="B130" s="101" t="s">
        <v>331</v>
      </c>
      <c r="C130" s="394"/>
      <c r="D130" s="394"/>
      <c r="E130" s="394"/>
      <c r="F130" s="394"/>
      <c r="G130" s="394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</row>
    <row r="131">
      <c r="A131" s="45"/>
      <c r="B131" s="101" t="s">
        <v>334</v>
      </c>
      <c r="C131" s="394"/>
      <c r="D131" s="394"/>
      <c r="E131" s="394"/>
      <c r="F131" s="394"/>
      <c r="G131" s="394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</row>
    <row r="132">
      <c r="A132" s="45"/>
      <c r="B132" s="101" t="s">
        <v>348</v>
      </c>
      <c r="C132" s="394"/>
      <c r="D132" s="394"/>
      <c r="E132" s="394"/>
      <c r="F132" s="394"/>
      <c r="G132" s="394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</row>
    <row r="133">
      <c r="A133" s="45"/>
      <c r="B133" s="101" t="s">
        <v>353</v>
      </c>
      <c r="C133" s="394"/>
      <c r="D133" s="394"/>
      <c r="E133" s="394"/>
      <c r="F133" s="394"/>
      <c r="G133" s="394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</row>
    <row r="134">
      <c r="A134" s="45"/>
      <c r="B134" s="78" t="s">
        <v>360</v>
      </c>
      <c r="C134" s="391"/>
      <c r="D134" s="391"/>
      <c r="E134" s="391"/>
      <c r="F134" s="391"/>
      <c r="G134" s="391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</row>
    <row r="135">
      <c r="A135" s="45"/>
      <c r="B135" s="78" t="s">
        <v>123</v>
      </c>
      <c r="C135" s="391"/>
      <c r="D135" s="391"/>
      <c r="E135" s="391"/>
      <c r="F135" s="391"/>
      <c r="G135" s="391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</row>
    <row r="136">
      <c r="A136" s="45"/>
      <c r="B136" s="78" t="s">
        <v>131</v>
      </c>
      <c r="C136" s="391"/>
      <c r="D136" s="391"/>
      <c r="E136" s="391"/>
      <c r="F136" s="391"/>
      <c r="G136" s="391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</row>
  </sheetData>
  <mergeCells count="9">
    <mergeCell ref="B111:D111"/>
    <mergeCell ref="B121:C121"/>
    <mergeCell ref="H2:J2"/>
    <mergeCell ref="L2:N2"/>
    <mergeCell ref="AJ2:AL2"/>
    <mergeCell ref="AM2:AO2"/>
    <mergeCell ref="B81:C81"/>
    <mergeCell ref="B90:D90"/>
    <mergeCell ref="B103:D10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0"/>
  <cols>
    <col customWidth="1" min="15" max="15" width="30.17"/>
  </cols>
  <sheetData>
    <row r="3">
      <c r="H3" s="24" t="s">
        <v>259</v>
      </c>
      <c r="I3" s="24" t="s">
        <v>263</v>
      </c>
      <c r="J3" s="24" t="s">
        <v>265</v>
      </c>
      <c r="K3" s="24" t="s">
        <v>266</v>
      </c>
      <c r="L3" s="24" t="s">
        <v>267</v>
      </c>
      <c r="M3" s="24" t="s">
        <v>268</v>
      </c>
      <c r="N3" s="24" t="s">
        <v>270</v>
      </c>
      <c r="O3" s="24" t="s">
        <v>271</v>
      </c>
      <c r="P3" s="24" t="s">
        <v>4</v>
      </c>
      <c r="Q3" s="24" t="s">
        <v>272</v>
      </c>
    </row>
    <row r="4">
      <c r="G4" s="24" t="s">
        <v>273</v>
      </c>
      <c r="H4" s="331">
        <v>450.0</v>
      </c>
      <c r="I4" s="331">
        <v>150.0</v>
      </c>
      <c r="J4" s="331">
        <v>40.0</v>
      </c>
      <c r="K4" s="331">
        <v>200.0</v>
      </c>
      <c r="L4" s="331">
        <v>77.0</v>
      </c>
      <c r="M4" s="331">
        <v>150.0</v>
      </c>
      <c r="N4" s="332"/>
      <c r="Q4" s="23">
        <f t="shared" ref="Q4:Q16" si="1">I4*150</f>
        <v>22500</v>
      </c>
    </row>
    <row r="5">
      <c r="C5" s="24" t="s">
        <v>275</v>
      </c>
      <c r="D5" s="23">
        <v>1248000.0</v>
      </c>
      <c r="H5" s="24">
        <v>150.0</v>
      </c>
      <c r="I5" s="24">
        <v>100.0</v>
      </c>
      <c r="J5" s="24">
        <v>40.0</v>
      </c>
      <c r="K5" s="24">
        <v>0.0</v>
      </c>
      <c r="L5" s="24">
        <v>0.0</v>
      </c>
      <c r="M5" s="24">
        <v>100.0</v>
      </c>
      <c r="N5" s="24">
        <v>3200.0</v>
      </c>
      <c r="O5" s="24">
        <v>0.3</v>
      </c>
      <c r="P5" s="23">
        <f t="shared" ref="P5:P16" si="2">(H5+I5+J5+K5+L5+M5)*N5</f>
        <v>1248000</v>
      </c>
      <c r="Q5" s="23">
        <f t="shared" si="1"/>
        <v>15000</v>
      </c>
    </row>
    <row r="6">
      <c r="C6" s="24" t="s">
        <v>281</v>
      </c>
      <c r="D6" s="23">
        <v>2508000.0</v>
      </c>
      <c r="H6" s="24">
        <v>400.0</v>
      </c>
      <c r="I6" s="24">
        <v>100.0</v>
      </c>
      <c r="J6" s="24">
        <v>40.0</v>
      </c>
      <c r="K6" s="24">
        <v>50.0</v>
      </c>
      <c r="L6" s="24">
        <v>20.0</v>
      </c>
      <c r="M6" s="24">
        <v>150.0</v>
      </c>
      <c r="N6" s="24">
        <v>3300.0</v>
      </c>
      <c r="O6" s="24">
        <v>0.7</v>
      </c>
      <c r="P6" s="23">
        <f t="shared" si="2"/>
        <v>2508000</v>
      </c>
      <c r="Q6" s="23">
        <f t="shared" si="1"/>
        <v>15000</v>
      </c>
    </row>
    <row r="7">
      <c r="C7" s="24" t="s">
        <v>283</v>
      </c>
      <c r="D7" s="23">
        <v>3104000.0</v>
      </c>
      <c r="H7" s="24">
        <v>450.0</v>
      </c>
      <c r="I7" s="24">
        <v>150.0</v>
      </c>
      <c r="J7" s="24">
        <v>40.0</v>
      </c>
      <c r="K7" s="24">
        <v>100.0</v>
      </c>
      <c r="L7" s="24">
        <v>30.0</v>
      </c>
      <c r="M7" s="24">
        <v>200.0</v>
      </c>
      <c r="N7" s="24">
        <v>3200.0</v>
      </c>
      <c r="O7" s="24">
        <v>0.8</v>
      </c>
      <c r="P7" s="23">
        <f t="shared" si="2"/>
        <v>3104000</v>
      </c>
      <c r="Q7" s="23">
        <f t="shared" si="1"/>
        <v>22500</v>
      </c>
    </row>
    <row r="8">
      <c r="C8" s="24" t="s">
        <v>286</v>
      </c>
      <c r="D8" s="23">
        <v>3135000.0</v>
      </c>
      <c r="H8" s="24">
        <v>450.0</v>
      </c>
      <c r="I8" s="24">
        <v>130.0</v>
      </c>
      <c r="J8" s="24">
        <v>40.0</v>
      </c>
      <c r="K8" s="24">
        <v>100.0</v>
      </c>
      <c r="L8" s="24">
        <v>30.0</v>
      </c>
      <c r="M8" s="24">
        <v>200.0</v>
      </c>
      <c r="N8" s="24">
        <v>3300.0</v>
      </c>
      <c r="O8" s="24">
        <v>0.85</v>
      </c>
      <c r="P8" s="23">
        <f t="shared" si="2"/>
        <v>3135000</v>
      </c>
      <c r="Q8" s="23">
        <f t="shared" si="1"/>
        <v>19500</v>
      </c>
    </row>
    <row r="9">
      <c r="C9" s="24" t="s">
        <v>283</v>
      </c>
      <c r="D9" s="23">
        <v>2310000.0</v>
      </c>
      <c r="H9" s="24">
        <v>300.0</v>
      </c>
      <c r="I9" s="24">
        <v>100.0</v>
      </c>
      <c r="J9" s="24">
        <v>40.0</v>
      </c>
      <c r="K9" s="24">
        <v>100.0</v>
      </c>
      <c r="L9" s="24">
        <v>60.0</v>
      </c>
      <c r="M9" s="24">
        <v>100.0</v>
      </c>
      <c r="N9" s="24">
        <v>3300.0</v>
      </c>
      <c r="O9" s="24">
        <v>0.65</v>
      </c>
      <c r="P9" s="23">
        <f t="shared" si="2"/>
        <v>2310000</v>
      </c>
      <c r="Q9" s="23">
        <f t="shared" si="1"/>
        <v>15000</v>
      </c>
    </row>
    <row r="10">
      <c r="C10" s="24" t="s">
        <v>301</v>
      </c>
      <c r="D10" s="23">
        <v>3185000.0</v>
      </c>
      <c r="H10" s="24">
        <v>400.0</v>
      </c>
      <c r="I10" s="24">
        <v>120.0</v>
      </c>
      <c r="J10" s="24">
        <v>40.0</v>
      </c>
      <c r="K10" s="24">
        <v>150.0</v>
      </c>
      <c r="L10" s="24">
        <v>50.0</v>
      </c>
      <c r="M10" s="24">
        <v>150.0</v>
      </c>
      <c r="N10" s="24">
        <v>3500.0</v>
      </c>
      <c r="O10" s="24">
        <v>0.75</v>
      </c>
      <c r="P10" s="23">
        <f t="shared" si="2"/>
        <v>3185000</v>
      </c>
      <c r="Q10" s="23">
        <f t="shared" si="1"/>
        <v>18000</v>
      </c>
    </row>
    <row r="11">
      <c r="C11" s="24" t="s">
        <v>301</v>
      </c>
      <c r="D11" s="23">
        <v>3276000.0</v>
      </c>
      <c r="H11" s="24">
        <v>400.0</v>
      </c>
      <c r="I11" s="24">
        <v>120.0</v>
      </c>
      <c r="J11" s="24">
        <v>40.0</v>
      </c>
      <c r="K11" s="24">
        <v>150.0</v>
      </c>
      <c r="L11" s="24">
        <v>0.0</v>
      </c>
      <c r="M11" s="24">
        <v>150.0</v>
      </c>
      <c r="N11" s="24">
        <v>3600.0</v>
      </c>
      <c r="O11" s="24">
        <v>0.75</v>
      </c>
      <c r="P11" s="23">
        <f t="shared" si="2"/>
        <v>3096000</v>
      </c>
      <c r="Q11" s="23">
        <f t="shared" si="1"/>
        <v>18000</v>
      </c>
    </row>
    <row r="12">
      <c r="C12" s="24" t="s">
        <v>286</v>
      </c>
      <c r="D12" s="23">
        <v>3420000.0</v>
      </c>
      <c r="H12" s="24">
        <v>400.0</v>
      </c>
      <c r="I12" s="24">
        <v>100.0</v>
      </c>
      <c r="J12" s="24">
        <v>40.0</v>
      </c>
      <c r="K12" s="24">
        <v>150.0</v>
      </c>
      <c r="L12" s="24">
        <v>0.0</v>
      </c>
      <c r="M12" s="24">
        <v>200.0</v>
      </c>
      <c r="N12" s="24">
        <v>3600.0</v>
      </c>
      <c r="O12" s="24">
        <v>0.8</v>
      </c>
      <c r="P12" s="23">
        <f t="shared" si="2"/>
        <v>3204000</v>
      </c>
      <c r="Q12" s="23">
        <f t="shared" si="1"/>
        <v>15000</v>
      </c>
    </row>
    <row r="13">
      <c r="C13" s="24" t="s">
        <v>313</v>
      </c>
      <c r="D13" s="23">
        <v>4014500.0</v>
      </c>
      <c r="H13" s="24">
        <v>450.0</v>
      </c>
      <c r="I13" s="24">
        <v>100.0</v>
      </c>
      <c r="J13" s="24">
        <v>40.0</v>
      </c>
      <c r="K13" s="24">
        <v>200.0</v>
      </c>
      <c r="L13" s="24">
        <v>0.0</v>
      </c>
      <c r="M13" s="24">
        <v>230.0</v>
      </c>
      <c r="N13" s="24">
        <v>3700.0</v>
      </c>
      <c r="O13" s="24">
        <v>0.85</v>
      </c>
      <c r="P13" s="23">
        <f t="shared" si="2"/>
        <v>3774000</v>
      </c>
      <c r="Q13" s="23">
        <f t="shared" si="1"/>
        <v>15000</v>
      </c>
    </row>
    <row r="14">
      <c r="C14" s="24" t="s">
        <v>316</v>
      </c>
      <c r="D14" s="23">
        <v>4273500.0</v>
      </c>
      <c r="H14" s="24">
        <v>450.0</v>
      </c>
      <c r="I14" s="24">
        <v>150.0</v>
      </c>
      <c r="J14" s="24">
        <v>40.0</v>
      </c>
      <c r="K14" s="24">
        <v>200.0</v>
      </c>
      <c r="L14" s="24">
        <v>0.0</v>
      </c>
      <c r="M14" s="24">
        <v>250.0</v>
      </c>
      <c r="N14" s="24">
        <v>3700.0</v>
      </c>
      <c r="O14" s="24">
        <v>0.95</v>
      </c>
      <c r="P14" s="23">
        <f t="shared" si="2"/>
        <v>4033000</v>
      </c>
      <c r="Q14" s="23">
        <f t="shared" si="1"/>
        <v>22500</v>
      </c>
    </row>
    <row r="15">
      <c r="C15" s="24" t="s">
        <v>329</v>
      </c>
      <c r="D15" s="23">
        <v>4712000.0</v>
      </c>
      <c r="H15" s="24">
        <v>480.0</v>
      </c>
      <c r="I15" s="24">
        <v>150.0</v>
      </c>
      <c r="J15" s="24">
        <v>40.0</v>
      </c>
      <c r="K15" s="24">
        <v>200.0</v>
      </c>
      <c r="L15" s="24">
        <v>0.0</v>
      </c>
      <c r="M15" s="24">
        <v>300.0</v>
      </c>
      <c r="N15" s="24">
        <v>3800.0</v>
      </c>
      <c r="O15" s="24">
        <v>0.95</v>
      </c>
      <c r="P15" s="23">
        <f t="shared" si="2"/>
        <v>4446000</v>
      </c>
      <c r="Q15" s="23">
        <f t="shared" si="1"/>
        <v>22500</v>
      </c>
    </row>
    <row r="16">
      <c r="C16" s="24" t="s">
        <v>333</v>
      </c>
      <c r="D16" s="23">
        <v>5187000.0</v>
      </c>
      <c r="H16" s="24">
        <v>500.0</v>
      </c>
      <c r="I16" s="24">
        <v>150.0</v>
      </c>
      <c r="J16" s="24">
        <v>40.0</v>
      </c>
      <c r="K16" s="24">
        <v>250.0</v>
      </c>
      <c r="L16" s="24">
        <v>0.0</v>
      </c>
      <c r="M16" s="24">
        <v>350.0</v>
      </c>
      <c r="N16" s="24">
        <v>3800.0</v>
      </c>
      <c r="O16" s="24">
        <v>1.2</v>
      </c>
      <c r="P16" s="23">
        <f t="shared" si="2"/>
        <v>4902000</v>
      </c>
      <c r="Q16" s="23">
        <f t="shared" si="1"/>
        <v>22500</v>
      </c>
    </row>
    <row r="17">
      <c r="P17" s="23">
        <f>SUM(P5:P16)</f>
        <v>38945000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0"/>
  <cols>
    <col customWidth="1" min="1" max="1" width="32.17"/>
  </cols>
  <sheetData>
    <row r="1">
      <c r="A1" s="2">
        <v>0.0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>
      <c r="A2" s="8" t="s">
        <v>7</v>
      </c>
      <c r="B2" s="12" t="s">
        <v>9</v>
      </c>
      <c r="C2" s="12" t="s">
        <v>10</v>
      </c>
      <c r="D2" s="12">
        <v>1.0</v>
      </c>
      <c r="E2" s="20">
        <f>'Макшанова'!H37</f>
        <v>0</v>
      </c>
      <c r="F2" s="20"/>
      <c r="G2" s="20"/>
    </row>
    <row r="3">
      <c r="A3" s="8" t="s">
        <v>32</v>
      </c>
      <c r="B3" s="12" t="s">
        <v>9</v>
      </c>
      <c r="C3" s="12" t="s">
        <v>10</v>
      </c>
      <c r="D3" s="12">
        <v>1.0</v>
      </c>
      <c r="E3" s="20">
        <f>5000*4</f>
        <v>20000</v>
      </c>
      <c r="F3" s="20"/>
      <c r="G3" s="20"/>
    </row>
    <row r="4">
      <c r="A4" s="8" t="s">
        <v>37</v>
      </c>
      <c r="B4" s="12" t="s">
        <v>9</v>
      </c>
      <c r="C4" s="12" t="s">
        <v>10</v>
      </c>
      <c r="D4" s="12">
        <v>1.0</v>
      </c>
      <c r="E4" s="12">
        <f>'Бюджет 2026'!S8/12</f>
        <v>208333.3333</v>
      </c>
      <c r="F4" s="20"/>
      <c r="G4" s="20"/>
    </row>
    <row r="5">
      <c r="A5" s="8" t="s">
        <v>38</v>
      </c>
      <c r="B5" s="12" t="s">
        <v>9</v>
      </c>
      <c r="C5" s="12" t="s">
        <v>10</v>
      </c>
      <c r="D5" s="12">
        <v>1.0</v>
      </c>
      <c r="E5" s="20">
        <f>'Бюджет 2026'!S9/12</f>
        <v>291666.6667</v>
      </c>
      <c r="F5" s="20"/>
      <c r="G5" s="20"/>
    </row>
    <row r="6">
      <c r="A6" s="8" t="s">
        <v>39</v>
      </c>
      <c r="B6" s="12" t="s">
        <v>9</v>
      </c>
      <c r="C6" s="12" t="s">
        <v>10</v>
      </c>
      <c r="D6" s="12">
        <v>1.0</v>
      </c>
      <c r="E6" s="20">
        <f>59000*2</f>
        <v>118000</v>
      </c>
      <c r="F6" s="20"/>
      <c r="G6" s="20"/>
    </row>
    <row r="7">
      <c r="A7" s="8" t="s">
        <v>40</v>
      </c>
      <c r="B7" s="12" t="s">
        <v>27</v>
      </c>
      <c r="C7" s="12" t="s">
        <v>10</v>
      </c>
      <c r="D7" s="12">
        <v>1.0</v>
      </c>
      <c r="E7" s="12">
        <f>J7*0.35*(-1)</f>
        <v>-212800</v>
      </c>
      <c r="F7" s="20"/>
      <c r="G7" s="20"/>
      <c r="J7" s="23">
        <f>E2+E29</f>
        <v>608000</v>
      </c>
    </row>
    <row r="8">
      <c r="A8" s="8" t="s">
        <v>41</v>
      </c>
      <c r="B8" s="12" t="s">
        <v>9</v>
      </c>
      <c r="C8" s="12" t="s">
        <v>10</v>
      </c>
      <c r="D8" s="12">
        <v>1.0</v>
      </c>
      <c r="E8" s="20">
        <f>E4/0.5*(-1)</f>
        <v>-416666.6667</v>
      </c>
      <c r="F8" s="20"/>
      <c r="G8" s="20"/>
    </row>
    <row r="9">
      <c r="A9" s="8" t="s">
        <v>52</v>
      </c>
      <c r="B9" s="12" t="s">
        <v>9</v>
      </c>
      <c r="C9" s="12" t="s">
        <v>10</v>
      </c>
      <c r="D9" s="12">
        <v>1.0</v>
      </c>
      <c r="E9" s="12">
        <v>-20000.0</v>
      </c>
      <c r="F9" s="20"/>
      <c r="G9" s="20"/>
    </row>
    <row r="10">
      <c r="A10" s="8" t="s">
        <v>57</v>
      </c>
      <c r="B10" s="12" t="s">
        <v>9</v>
      </c>
      <c r="C10" s="12" t="s">
        <v>10</v>
      </c>
      <c r="D10" s="12">
        <v>1.0</v>
      </c>
      <c r="E10" s="12">
        <v>-320000.0</v>
      </c>
      <c r="F10" s="20"/>
      <c r="G10" s="20"/>
    </row>
    <row r="11">
      <c r="A11" s="2" t="s">
        <v>7</v>
      </c>
      <c r="B11" s="4" t="s">
        <v>9</v>
      </c>
      <c r="C11" s="4" t="s">
        <v>76</v>
      </c>
      <c r="D11" s="4">
        <v>1.0</v>
      </c>
      <c r="E11" s="4">
        <f>'Макшанова'!L37</f>
        <v>182820</v>
      </c>
      <c r="F11" s="95"/>
      <c r="G11" s="95"/>
    </row>
    <row r="12">
      <c r="A12" s="2" t="s">
        <v>32</v>
      </c>
      <c r="B12" s="4" t="s">
        <v>9</v>
      </c>
      <c r="C12" s="4" t="s">
        <v>76</v>
      </c>
      <c r="D12" s="4">
        <v>1.0</v>
      </c>
      <c r="E12" s="4">
        <v>30500.0</v>
      </c>
      <c r="F12" s="95"/>
      <c r="G12" s="95"/>
    </row>
    <row r="13">
      <c r="A13" s="2" t="s">
        <v>37</v>
      </c>
      <c r="B13" s="4" t="s">
        <v>9</v>
      </c>
      <c r="C13" s="4" t="s">
        <v>76</v>
      </c>
      <c r="D13" s="4">
        <v>1.0</v>
      </c>
      <c r="E13" s="95">
        <f>'Бюджет 2026'!S8/12</f>
        <v>208333.3333</v>
      </c>
      <c r="F13" s="95"/>
      <c r="G13" s="95"/>
    </row>
    <row r="14">
      <c r="A14" s="2" t="s">
        <v>38</v>
      </c>
      <c r="B14" s="4" t="s">
        <v>9</v>
      </c>
      <c r="C14" s="4" t="s">
        <v>76</v>
      </c>
      <c r="D14" s="4">
        <v>1.0</v>
      </c>
      <c r="E14" s="95">
        <f>'Бюджет 2026'!S9/12</f>
        <v>291666.6667</v>
      </c>
      <c r="F14" s="95"/>
      <c r="G14" s="95"/>
    </row>
    <row r="15">
      <c r="A15" s="2" t="s">
        <v>39</v>
      </c>
      <c r="B15" s="4" t="s">
        <v>9</v>
      </c>
      <c r="C15" s="4" t="s">
        <v>76</v>
      </c>
      <c r="D15" s="4">
        <v>1.0</v>
      </c>
      <c r="E15" s="95">
        <f>59000*3</f>
        <v>177000</v>
      </c>
      <c r="F15" s="95"/>
      <c r="G15" s="95"/>
    </row>
    <row r="16">
      <c r="A16" s="2" t="s">
        <v>40</v>
      </c>
      <c r="B16" s="4" t="s">
        <v>27</v>
      </c>
      <c r="C16" s="4" t="s">
        <v>76</v>
      </c>
      <c r="D16" s="4">
        <v>1.0</v>
      </c>
      <c r="E16" s="12">
        <f>J16*0.35*(-1)</f>
        <v>-183687</v>
      </c>
      <c r="F16" s="95"/>
      <c r="G16" s="95"/>
      <c r="J16" s="23">
        <f>E11+E38</f>
        <v>524820</v>
      </c>
    </row>
    <row r="17">
      <c r="A17" s="2" t="s">
        <v>41</v>
      </c>
      <c r="B17" s="4" t="s">
        <v>9</v>
      </c>
      <c r="C17" s="4" t="s">
        <v>76</v>
      </c>
      <c r="D17" s="4">
        <v>1.0</v>
      </c>
      <c r="E17" s="4">
        <f>E13*0.5*(-1)</f>
        <v>-104166.6667</v>
      </c>
      <c r="F17" s="95"/>
      <c r="G17" s="95"/>
    </row>
    <row r="18">
      <c r="A18" s="2" t="s">
        <v>52</v>
      </c>
      <c r="B18" s="4" t="s">
        <v>9</v>
      </c>
      <c r="C18" s="4" t="s">
        <v>76</v>
      </c>
      <c r="D18" s="4">
        <v>1.0</v>
      </c>
      <c r="E18" s="83">
        <v>-33333.3333333333</v>
      </c>
      <c r="F18" s="95"/>
      <c r="G18" s="95"/>
    </row>
    <row r="19">
      <c r="A19" s="2" t="s">
        <v>57</v>
      </c>
      <c r="B19" s="4" t="s">
        <v>9</v>
      </c>
      <c r="C19" s="4" t="s">
        <v>76</v>
      </c>
      <c r="D19" s="4">
        <v>1.0</v>
      </c>
      <c r="E19" s="83">
        <v>-320000.0</v>
      </c>
      <c r="F19" s="95"/>
      <c r="G19" s="95"/>
    </row>
    <row r="20">
      <c r="A20" s="8" t="s">
        <v>7</v>
      </c>
      <c r="B20" s="12" t="s">
        <v>9</v>
      </c>
      <c r="C20" s="12" t="s">
        <v>88</v>
      </c>
      <c r="D20" s="12">
        <v>1.0</v>
      </c>
      <c r="E20" s="12">
        <f>'Макшанова'!O37</f>
        <v>707750</v>
      </c>
      <c r="F20" s="20"/>
      <c r="G20" s="20"/>
    </row>
    <row r="21">
      <c r="A21" s="8" t="s">
        <v>32</v>
      </c>
      <c r="B21" s="12" t="s">
        <v>9</v>
      </c>
      <c r="C21" s="12" t="s">
        <v>88</v>
      </c>
      <c r="D21" s="12">
        <v>1.0</v>
      </c>
      <c r="E21" s="12">
        <f>30500+6100</f>
        <v>36600</v>
      </c>
      <c r="F21" s="20"/>
      <c r="G21" s="20"/>
    </row>
    <row r="22">
      <c r="A22" s="8" t="s">
        <v>37</v>
      </c>
      <c r="B22" s="12" t="s">
        <v>9</v>
      </c>
      <c r="C22" s="12" t="s">
        <v>88</v>
      </c>
      <c r="D22" s="12">
        <v>1.0</v>
      </c>
      <c r="E22" s="20">
        <f>'Бюджет 2026'!S8/12</f>
        <v>208333.3333</v>
      </c>
      <c r="F22" s="20"/>
      <c r="G22" s="20"/>
    </row>
    <row r="23">
      <c r="A23" s="8" t="s">
        <v>38</v>
      </c>
      <c r="B23" s="12" t="s">
        <v>9</v>
      </c>
      <c r="C23" s="12" t="s">
        <v>88</v>
      </c>
      <c r="D23" s="12">
        <v>1.0</v>
      </c>
      <c r="E23" s="20">
        <f>E5</f>
        <v>291666.6667</v>
      </c>
      <c r="F23" s="20"/>
      <c r="G23" s="20"/>
    </row>
    <row r="24">
      <c r="A24" s="8" t="s">
        <v>39</v>
      </c>
      <c r="B24" s="12" t="s">
        <v>9</v>
      </c>
      <c r="C24" s="12" t="s">
        <v>88</v>
      </c>
      <c r="D24" s="12">
        <v>1.0</v>
      </c>
      <c r="E24" s="20">
        <f>'Бюджет 2026'!S10/12</f>
        <v>250000</v>
      </c>
      <c r="F24" s="20"/>
      <c r="G24" s="20"/>
    </row>
    <row r="25">
      <c r="A25" s="8" t="s">
        <v>40</v>
      </c>
      <c r="B25" s="12" t="s">
        <v>27</v>
      </c>
      <c r="C25" s="12" t="s">
        <v>88</v>
      </c>
      <c r="D25" s="12">
        <v>1.0</v>
      </c>
      <c r="E25" s="12">
        <f>J25*0.35*(-1)</f>
        <v>-394012.5</v>
      </c>
      <c r="F25" s="20"/>
      <c r="G25" s="20"/>
      <c r="J25" s="23">
        <f>E20+E47</f>
        <v>1125750</v>
      </c>
    </row>
    <row r="26">
      <c r="A26" s="8" t="s">
        <v>41</v>
      </c>
      <c r="B26" s="12" t="s">
        <v>9</v>
      </c>
      <c r="C26" s="12" t="s">
        <v>88</v>
      </c>
      <c r="D26" s="12">
        <v>1.0</v>
      </c>
      <c r="E26" s="12">
        <f>E22*0.5*(-1)</f>
        <v>-104166.6667</v>
      </c>
      <c r="F26" s="20"/>
      <c r="G26" s="20"/>
    </row>
    <row r="27">
      <c r="A27" s="8" t="s">
        <v>52</v>
      </c>
      <c r="B27" s="12" t="s">
        <v>9</v>
      </c>
      <c r="C27" s="12" t="s">
        <v>88</v>
      </c>
      <c r="D27" s="12">
        <v>1.0</v>
      </c>
      <c r="E27" s="12">
        <v>-33333.3333333333</v>
      </c>
      <c r="F27" s="20"/>
      <c r="G27" s="20"/>
    </row>
    <row r="28">
      <c r="A28" s="8" t="s">
        <v>57</v>
      </c>
      <c r="B28" s="12" t="s">
        <v>9</v>
      </c>
      <c r="C28" s="12" t="s">
        <v>88</v>
      </c>
      <c r="D28" s="12">
        <v>1.0</v>
      </c>
      <c r="E28" s="12">
        <v>-320000.0</v>
      </c>
      <c r="F28" s="20"/>
      <c r="G28" s="20"/>
    </row>
    <row r="29">
      <c r="A29" s="2" t="s">
        <v>7</v>
      </c>
      <c r="B29" s="4" t="s">
        <v>9</v>
      </c>
      <c r="C29" s="4" t="s">
        <v>89</v>
      </c>
      <c r="D29" s="4">
        <v>2.0</v>
      </c>
      <c r="E29" s="83">
        <f>'Макшанова'!R37</f>
        <v>608000</v>
      </c>
      <c r="F29" s="95"/>
      <c r="G29" s="95"/>
    </row>
    <row r="30">
      <c r="A30" s="2" t="s">
        <v>32</v>
      </c>
      <c r="B30" s="4" t="s">
        <v>9</v>
      </c>
      <c r="C30" s="4" t="s">
        <v>89</v>
      </c>
      <c r="D30" s="4">
        <v>2.0</v>
      </c>
      <c r="E30" s="83">
        <f>30500+6100</f>
        <v>36600</v>
      </c>
      <c r="F30" s="95"/>
      <c r="G30" s="95"/>
    </row>
    <row r="31">
      <c r="A31" s="2" t="s">
        <v>37</v>
      </c>
      <c r="B31" s="4" t="s">
        <v>9</v>
      </c>
      <c r="C31" s="4" t="s">
        <v>89</v>
      </c>
      <c r="D31" s="4">
        <v>2.0</v>
      </c>
      <c r="E31" s="86">
        <f>'Бюджет 2026'!S8/12</f>
        <v>208333.3333</v>
      </c>
      <c r="F31" s="95"/>
      <c r="G31" s="95"/>
    </row>
    <row r="32">
      <c r="A32" s="2" t="s">
        <v>38</v>
      </c>
      <c r="B32" s="4" t="s">
        <v>9</v>
      </c>
      <c r="C32" s="4" t="s">
        <v>89</v>
      </c>
      <c r="D32" s="4">
        <v>2.0</v>
      </c>
      <c r="E32" s="86">
        <f>'Бюджет 2026'!S9/12</f>
        <v>291666.6667</v>
      </c>
      <c r="F32" s="95"/>
      <c r="G32" s="95"/>
    </row>
    <row r="33">
      <c r="A33" s="2" t="s">
        <v>39</v>
      </c>
      <c r="B33" s="4" t="s">
        <v>9</v>
      </c>
      <c r="C33" s="4" t="s">
        <v>89</v>
      </c>
      <c r="D33" s="4">
        <v>2.0</v>
      </c>
      <c r="E33" s="86">
        <f>'Бюджет 2026'!S10/12</f>
        <v>250000</v>
      </c>
      <c r="F33" s="95"/>
      <c r="G33" s="95"/>
    </row>
    <row r="34">
      <c r="A34" s="2" t="s">
        <v>40</v>
      </c>
      <c r="B34" s="4" t="s">
        <v>27</v>
      </c>
      <c r="C34" s="4" t="s">
        <v>89</v>
      </c>
      <c r="D34" s="4">
        <v>2.0</v>
      </c>
      <c r="E34" s="12">
        <f>J34*0.35*(-1)</f>
        <v>-359100</v>
      </c>
      <c r="F34" s="95"/>
      <c r="G34" s="95"/>
      <c r="J34" s="23">
        <f>E29+E56</f>
        <v>1026000</v>
      </c>
    </row>
    <row r="35">
      <c r="A35" s="2" t="s">
        <v>41</v>
      </c>
      <c r="B35" s="4" t="s">
        <v>9</v>
      </c>
      <c r="C35" s="4" t="s">
        <v>89</v>
      </c>
      <c r="D35" s="4">
        <v>2.0</v>
      </c>
      <c r="E35" s="83">
        <f>E13*0.5*(-1)</f>
        <v>-104166.6667</v>
      </c>
      <c r="F35" s="95"/>
      <c r="G35" s="95"/>
    </row>
    <row r="36">
      <c r="A36" s="2" t="s">
        <v>52</v>
      </c>
      <c r="B36" s="4" t="s">
        <v>9</v>
      </c>
      <c r="C36" s="4" t="s">
        <v>89</v>
      </c>
      <c r="D36" s="4">
        <v>2.0</v>
      </c>
      <c r="E36" s="83">
        <v>-33333.3333333333</v>
      </c>
      <c r="F36" s="95"/>
      <c r="G36" s="95"/>
    </row>
    <row r="37">
      <c r="A37" s="2" t="s">
        <v>57</v>
      </c>
      <c r="B37" s="4" t="s">
        <v>9</v>
      </c>
      <c r="C37" s="4" t="s">
        <v>89</v>
      </c>
      <c r="D37" s="4">
        <v>2.0</v>
      </c>
      <c r="E37" s="83">
        <v>-320000.0</v>
      </c>
      <c r="F37" s="95"/>
      <c r="G37" s="95"/>
    </row>
    <row r="38">
      <c r="A38" s="8" t="s">
        <v>7</v>
      </c>
      <c r="B38" s="12" t="s">
        <v>9</v>
      </c>
      <c r="C38" s="12" t="s">
        <v>28</v>
      </c>
      <c r="D38" s="12">
        <v>2.0</v>
      </c>
      <c r="E38" s="12">
        <f>'Макшанова'!U37</f>
        <v>342000</v>
      </c>
      <c r="F38" s="20"/>
      <c r="G38" s="20"/>
    </row>
    <row r="39">
      <c r="A39" s="8" t="s">
        <v>32</v>
      </c>
      <c r="B39" s="12" t="s">
        <v>9</v>
      </c>
      <c r="C39" s="12" t="s">
        <v>28</v>
      </c>
      <c r="D39" s="12">
        <v>2.0</v>
      </c>
      <c r="E39" s="12">
        <v>36600.0</v>
      </c>
      <c r="F39" s="20"/>
      <c r="G39" s="20"/>
    </row>
    <row r="40">
      <c r="A40" s="8" t="s">
        <v>37</v>
      </c>
      <c r="B40" s="12" t="s">
        <v>9</v>
      </c>
      <c r="C40" s="12" t="s">
        <v>28</v>
      </c>
      <c r="D40" s="12">
        <v>2.0</v>
      </c>
      <c r="E40" s="20">
        <f>'Бюджет 2026'!S8/12</f>
        <v>208333.3333</v>
      </c>
      <c r="F40" s="20"/>
      <c r="G40" s="20"/>
    </row>
    <row r="41">
      <c r="A41" s="8" t="s">
        <v>38</v>
      </c>
      <c r="B41" s="12" t="s">
        <v>9</v>
      </c>
      <c r="C41" s="12" t="s">
        <v>28</v>
      </c>
      <c r="D41" s="12">
        <v>2.0</v>
      </c>
      <c r="E41" s="20">
        <f>'Бюджет 2026'!S9/12</f>
        <v>291666.6667</v>
      </c>
      <c r="F41" s="20"/>
      <c r="G41" s="20"/>
    </row>
    <row r="42">
      <c r="A42" s="8" t="s">
        <v>39</v>
      </c>
      <c r="B42" s="12" t="s">
        <v>9</v>
      </c>
      <c r="C42" s="12" t="s">
        <v>28</v>
      </c>
      <c r="D42" s="12">
        <v>2.0</v>
      </c>
      <c r="E42" s="20" t="str">
        <f>#REF!/12</f>
        <v>#REF!</v>
      </c>
      <c r="F42" s="20"/>
      <c r="G42" s="20"/>
    </row>
    <row r="43">
      <c r="A43" s="8" t="s">
        <v>40</v>
      </c>
      <c r="B43" s="12" t="s">
        <v>27</v>
      </c>
      <c r="C43" s="12" t="s">
        <v>28</v>
      </c>
      <c r="D43" s="12">
        <v>2.0</v>
      </c>
      <c r="E43" s="12">
        <f>J43*0.35*(-1)</f>
        <v>-305900</v>
      </c>
      <c r="F43" s="20"/>
      <c r="G43" s="20"/>
      <c r="J43" s="23">
        <f>E38+E65</f>
        <v>874000</v>
      </c>
    </row>
    <row r="44">
      <c r="A44" s="8" t="s">
        <v>41</v>
      </c>
      <c r="B44" s="12" t="s">
        <v>9</v>
      </c>
      <c r="C44" s="12" t="s">
        <v>28</v>
      </c>
      <c r="D44" s="12">
        <v>2.0</v>
      </c>
      <c r="E44" s="12">
        <f>E40*0.5*(-1)</f>
        <v>-104166.6667</v>
      </c>
      <c r="F44" s="20"/>
      <c r="G44" s="20"/>
    </row>
    <row r="45">
      <c r="A45" s="8" t="s">
        <v>52</v>
      </c>
      <c r="B45" s="12" t="s">
        <v>9</v>
      </c>
      <c r="C45" s="12" t="s">
        <v>28</v>
      </c>
      <c r="D45" s="12">
        <v>2.0</v>
      </c>
      <c r="E45" s="12">
        <v>-33333.3333333333</v>
      </c>
      <c r="F45" s="20"/>
      <c r="G45" s="20"/>
    </row>
    <row r="46">
      <c r="A46" s="8" t="s">
        <v>57</v>
      </c>
      <c r="B46" s="12" t="s">
        <v>9</v>
      </c>
      <c r="C46" s="12" t="s">
        <v>28</v>
      </c>
      <c r="D46" s="12">
        <v>2.0</v>
      </c>
      <c r="E46" s="12">
        <v>-320000.0</v>
      </c>
      <c r="F46" s="20"/>
      <c r="G46" s="20"/>
    </row>
    <row r="47">
      <c r="A47" s="82" t="s">
        <v>7</v>
      </c>
      <c r="B47" s="83" t="s">
        <v>9</v>
      </c>
      <c r="C47" s="83" t="s">
        <v>90</v>
      </c>
      <c r="D47" s="83">
        <v>2.0</v>
      </c>
      <c r="E47" s="83">
        <f>'Макшанова'!X37</f>
        <v>418000</v>
      </c>
      <c r="F47" s="86"/>
      <c r="G47" s="86"/>
    </row>
    <row r="48">
      <c r="A48" s="82" t="s">
        <v>32</v>
      </c>
      <c r="B48" s="83" t="s">
        <v>9</v>
      </c>
      <c r="C48" s="83" t="s">
        <v>90</v>
      </c>
      <c r="D48" s="83">
        <v>2.0</v>
      </c>
      <c r="E48" s="86">
        <f>'Бюджет 2026'!S7/12</f>
        <v>33333.33333</v>
      </c>
      <c r="F48" s="86"/>
      <c r="G48" s="86"/>
    </row>
    <row r="49">
      <c r="A49" s="82" t="s">
        <v>37</v>
      </c>
      <c r="B49" s="83" t="s">
        <v>9</v>
      </c>
      <c r="C49" s="83" t="s">
        <v>90</v>
      </c>
      <c r="D49" s="83">
        <v>2.0</v>
      </c>
      <c r="E49" s="86">
        <v>208333.33333333334</v>
      </c>
      <c r="F49" s="86"/>
      <c r="G49" s="86"/>
    </row>
    <row r="50">
      <c r="A50" s="82" t="s">
        <v>38</v>
      </c>
      <c r="B50" s="83" t="s">
        <v>9</v>
      </c>
      <c r="C50" s="83" t="s">
        <v>90</v>
      </c>
      <c r="D50" s="83">
        <v>2.0</v>
      </c>
      <c r="E50" s="86">
        <f>'Бюджет 2026'!S9/12</f>
        <v>291666.6667</v>
      </c>
      <c r="F50" s="86"/>
      <c r="G50" s="86"/>
    </row>
    <row r="51">
      <c r="A51" s="82" t="s">
        <v>39</v>
      </c>
      <c r="B51" s="83" t="s">
        <v>9</v>
      </c>
      <c r="C51" s="83" t="s">
        <v>90</v>
      </c>
      <c r="D51" s="83">
        <v>2.0</v>
      </c>
      <c r="E51" s="86">
        <f>E23</f>
        <v>291666.6667</v>
      </c>
      <c r="F51" s="86"/>
      <c r="G51" s="86"/>
    </row>
    <row r="52">
      <c r="A52" s="82" t="s">
        <v>40</v>
      </c>
      <c r="B52" s="83" t="s">
        <v>27</v>
      </c>
      <c r="C52" s="83" t="s">
        <v>90</v>
      </c>
      <c r="D52" s="83">
        <v>2.0</v>
      </c>
      <c r="E52" s="12">
        <f>J52*0.35*(-1)</f>
        <v>-359100</v>
      </c>
      <c r="F52" s="86"/>
      <c r="G52" s="86"/>
      <c r="J52" s="23">
        <f>E47+E74</f>
        <v>1026000</v>
      </c>
    </row>
    <row r="53">
      <c r="A53" s="82" t="s">
        <v>41</v>
      </c>
      <c r="B53" s="83" t="s">
        <v>9</v>
      </c>
      <c r="C53" s="83" t="s">
        <v>90</v>
      </c>
      <c r="D53" s="83">
        <v>2.0</v>
      </c>
      <c r="E53" s="83">
        <f>E49*0.5*(-1)</f>
        <v>-104166.6667</v>
      </c>
      <c r="F53" s="86"/>
      <c r="G53" s="86"/>
    </row>
    <row r="54">
      <c r="A54" s="82" t="s">
        <v>52</v>
      </c>
      <c r="B54" s="83" t="s">
        <v>9</v>
      </c>
      <c r="C54" s="83" t="s">
        <v>90</v>
      </c>
      <c r="D54" s="83">
        <v>2.0</v>
      </c>
      <c r="E54" s="83">
        <v>-33333.3333333333</v>
      </c>
      <c r="F54" s="86"/>
      <c r="G54" s="86"/>
    </row>
    <row r="55">
      <c r="A55" s="82" t="s">
        <v>57</v>
      </c>
      <c r="B55" s="83" t="s">
        <v>9</v>
      </c>
      <c r="C55" s="83" t="s">
        <v>90</v>
      </c>
      <c r="D55" s="83">
        <v>2.0</v>
      </c>
      <c r="E55" s="83">
        <v>-320000.0</v>
      </c>
      <c r="F55" s="86"/>
      <c r="G55" s="86"/>
    </row>
    <row r="56">
      <c r="A56" s="8" t="s">
        <v>7</v>
      </c>
      <c r="B56" s="12" t="s">
        <v>9</v>
      </c>
      <c r="C56" s="12" t="s">
        <v>91</v>
      </c>
      <c r="D56" s="12">
        <v>3.0</v>
      </c>
      <c r="E56" s="12">
        <f>'Макшанова'!X37</f>
        <v>418000</v>
      </c>
      <c r="F56" s="20"/>
      <c r="G56" s="20"/>
    </row>
    <row r="57">
      <c r="A57" s="8" t="s">
        <v>32</v>
      </c>
      <c r="B57" s="12" t="s">
        <v>9</v>
      </c>
      <c r="C57" s="12" t="s">
        <v>91</v>
      </c>
      <c r="D57" s="12">
        <v>3.0</v>
      </c>
      <c r="E57" s="20">
        <f>36600+3500</f>
        <v>40100</v>
      </c>
      <c r="F57" s="20"/>
      <c r="G57" s="20"/>
    </row>
    <row r="58">
      <c r="A58" s="8" t="s">
        <v>37</v>
      </c>
      <c r="B58" s="12" t="s">
        <v>9</v>
      </c>
      <c r="C58" s="12" t="s">
        <v>91</v>
      </c>
      <c r="D58" s="12">
        <v>3.0</v>
      </c>
      <c r="E58" s="20">
        <f>'Бюджет 2026'!S8/12</f>
        <v>208333.3333</v>
      </c>
      <c r="F58" s="20"/>
      <c r="G58" s="20"/>
    </row>
    <row r="59">
      <c r="A59" s="8" t="s">
        <v>38</v>
      </c>
      <c r="B59" s="12" t="s">
        <v>9</v>
      </c>
      <c r="C59" s="12" t="s">
        <v>91</v>
      </c>
      <c r="D59" s="12">
        <v>3.0</v>
      </c>
      <c r="E59" s="20">
        <v>291666.6666666667</v>
      </c>
      <c r="F59" s="20"/>
      <c r="G59" s="20"/>
    </row>
    <row r="60">
      <c r="A60" s="8" t="s">
        <v>39</v>
      </c>
      <c r="B60" s="12" t="s">
        <v>9</v>
      </c>
      <c r="C60" s="12" t="s">
        <v>91</v>
      </c>
      <c r="D60" s="12">
        <v>3.0</v>
      </c>
      <c r="E60" s="20">
        <v>250000.0</v>
      </c>
      <c r="F60" s="20"/>
      <c r="G60" s="20"/>
    </row>
    <row r="61">
      <c r="A61" s="8" t="s">
        <v>40</v>
      </c>
      <c r="B61" s="12" t="s">
        <v>27</v>
      </c>
      <c r="C61" s="12" t="s">
        <v>91</v>
      </c>
      <c r="D61" s="12">
        <v>3.0</v>
      </c>
      <c r="E61" s="12">
        <f>J61*0.35*(-1)</f>
        <v>-399000</v>
      </c>
      <c r="F61" s="20"/>
      <c r="G61" s="20"/>
      <c r="J61" s="23">
        <f>E56+E83</f>
        <v>1140000</v>
      </c>
    </row>
    <row r="62">
      <c r="A62" s="8" t="s">
        <v>41</v>
      </c>
      <c r="B62" s="12" t="s">
        <v>9</v>
      </c>
      <c r="C62" s="12" t="s">
        <v>91</v>
      </c>
      <c r="D62" s="12">
        <v>3.0</v>
      </c>
      <c r="E62" s="12">
        <f>E58*0.5*(-1)</f>
        <v>-104166.6667</v>
      </c>
      <c r="F62" s="20"/>
      <c r="G62" s="20"/>
    </row>
    <row r="63">
      <c r="A63" s="8" t="s">
        <v>52</v>
      </c>
      <c r="B63" s="12" t="s">
        <v>9</v>
      </c>
      <c r="C63" s="12" t="s">
        <v>91</v>
      </c>
      <c r="D63" s="12">
        <v>3.0</v>
      </c>
      <c r="E63" s="12">
        <v>-33333.3333333333</v>
      </c>
      <c r="F63" s="20"/>
      <c r="G63" s="20"/>
    </row>
    <row r="64">
      <c r="A64" s="8" t="s">
        <v>57</v>
      </c>
      <c r="B64" s="12" t="s">
        <v>9</v>
      </c>
      <c r="C64" s="12" t="s">
        <v>91</v>
      </c>
      <c r="D64" s="12">
        <v>3.0</v>
      </c>
      <c r="E64" s="12">
        <v>-320000.0</v>
      </c>
      <c r="F64" s="20"/>
      <c r="G64" s="20"/>
    </row>
    <row r="65">
      <c r="A65" s="2" t="s">
        <v>7</v>
      </c>
      <c r="B65" s="4" t="s">
        <v>9</v>
      </c>
      <c r="C65" s="4" t="s">
        <v>92</v>
      </c>
      <c r="D65" s="4">
        <v>3.0</v>
      </c>
      <c r="E65" s="4">
        <f>'Макшанова'!AD37</f>
        <v>532000</v>
      </c>
      <c r="F65" s="95"/>
      <c r="G65" s="95"/>
    </row>
    <row r="66">
      <c r="A66" s="2" t="s">
        <v>32</v>
      </c>
      <c r="B66" s="4" t="s">
        <v>9</v>
      </c>
      <c r="C66" s="4" t="s">
        <v>92</v>
      </c>
      <c r="D66" s="4">
        <v>3.0</v>
      </c>
      <c r="E66" s="95">
        <v>36600.0</v>
      </c>
      <c r="F66" s="95"/>
      <c r="G66" s="95"/>
    </row>
    <row r="67">
      <c r="A67" s="2" t="s">
        <v>37</v>
      </c>
      <c r="B67" s="4" t="s">
        <v>9</v>
      </c>
      <c r="C67" s="4" t="s">
        <v>92</v>
      </c>
      <c r="D67" s="4">
        <v>3.0</v>
      </c>
      <c r="E67" s="95">
        <v>208333.33333333334</v>
      </c>
      <c r="F67" s="95"/>
      <c r="G67" s="95"/>
    </row>
    <row r="68">
      <c r="A68" s="2" t="s">
        <v>38</v>
      </c>
      <c r="B68" s="4" t="s">
        <v>9</v>
      </c>
      <c r="C68" s="4" t="s">
        <v>92</v>
      </c>
      <c r="D68" s="4">
        <v>3.0</v>
      </c>
      <c r="E68" s="95">
        <v>291666.6666666667</v>
      </c>
      <c r="F68" s="95"/>
      <c r="G68" s="95"/>
    </row>
    <row r="69">
      <c r="A69" s="82" t="s">
        <v>39</v>
      </c>
      <c r="B69" s="4" t="s">
        <v>9</v>
      </c>
      <c r="C69" s="4" t="s">
        <v>92</v>
      </c>
      <c r="D69" s="4">
        <v>3.0</v>
      </c>
      <c r="E69" s="95">
        <v>250000.0</v>
      </c>
      <c r="F69" s="95"/>
      <c r="G69" s="95"/>
    </row>
    <row r="70">
      <c r="A70" s="2" t="s">
        <v>40</v>
      </c>
      <c r="B70" s="4" t="s">
        <v>27</v>
      </c>
      <c r="C70" s="4" t="s">
        <v>92</v>
      </c>
      <c r="D70" s="4">
        <v>3.0</v>
      </c>
      <c r="E70" s="12">
        <f>J70*0.35*(-1)</f>
        <v>-450870</v>
      </c>
      <c r="F70" s="95"/>
      <c r="G70" s="95"/>
      <c r="J70" s="23">
        <f>E65+E92</f>
        <v>1288200</v>
      </c>
    </row>
    <row r="71">
      <c r="A71" s="2" t="s">
        <v>41</v>
      </c>
      <c r="B71" s="4" t="s">
        <v>9</v>
      </c>
      <c r="C71" s="4" t="s">
        <v>92</v>
      </c>
      <c r="D71" s="4">
        <v>3.0</v>
      </c>
      <c r="E71" s="4">
        <f>'Бюджет 2026'!S8/12*0.5*(-1)</f>
        <v>-104166.6667</v>
      </c>
      <c r="F71" s="95"/>
      <c r="G71" s="95"/>
    </row>
    <row r="72">
      <c r="A72" s="2" t="s">
        <v>52</v>
      </c>
      <c r="B72" s="4" t="s">
        <v>9</v>
      </c>
      <c r="C72" s="4" t="s">
        <v>92</v>
      </c>
      <c r="D72" s="4">
        <v>3.0</v>
      </c>
      <c r="E72" s="4">
        <v>-33333.3333333333</v>
      </c>
      <c r="F72" s="95"/>
      <c r="G72" s="95"/>
    </row>
    <row r="73">
      <c r="A73" s="2" t="s">
        <v>57</v>
      </c>
      <c r="B73" s="4" t="s">
        <v>9</v>
      </c>
      <c r="C73" s="4" t="s">
        <v>92</v>
      </c>
      <c r="D73" s="4">
        <v>3.0</v>
      </c>
      <c r="E73" s="83">
        <v>-320000.0</v>
      </c>
      <c r="F73" s="95"/>
      <c r="G73" s="95"/>
    </row>
    <row r="74">
      <c r="A74" s="8" t="s">
        <v>7</v>
      </c>
      <c r="B74" s="12" t="s">
        <v>9</v>
      </c>
      <c r="C74" s="12" t="s">
        <v>93</v>
      </c>
      <c r="D74" s="12">
        <v>3.0</v>
      </c>
      <c r="E74" s="12">
        <f>'Макшанова'!AG37</f>
        <v>608000</v>
      </c>
      <c r="F74" s="20"/>
      <c r="G74" s="20"/>
    </row>
    <row r="75">
      <c r="A75" s="8" t="s">
        <v>32</v>
      </c>
      <c r="B75" s="12" t="s">
        <v>9</v>
      </c>
      <c r="C75" s="12" t="s">
        <v>93</v>
      </c>
      <c r="D75" s="12">
        <v>3.0</v>
      </c>
      <c r="E75" s="20">
        <v>36600.0</v>
      </c>
      <c r="F75" s="20"/>
      <c r="G75" s="20"/>
    </row>
    <row r="76">
      <c r="A76" s="8" t="s">
        <v>37</v>
      </c>
      <c r="B76" s="12" t="s">
        <v>9</v>
      </c>
      <c r="C76" s="12" t="s">
        <v>93</v>
      </c>
      <c r="D76" s="12">
        <v>3.0</v>
      </c>
      <c r="E76" s="20">
        <v>208333.33333333334</v>
      </c>
      <c r="F76" s="20"/>
      <c r="G76" s="20"/>
    </row>
    <row r="77">
      <c r="A77" s="8" t="s">
        <v>38</v>
      </c>
      <c r="B77" s="12" t="s">
        <v>9</v>
      </c>
      <c r="C77" s="12" t="s">
        <v>93</v>
      </c>
      <c r="D77" s="12">
        <v>3.0</v>
      </c>
      <c r="E77" s="20">
        <v>291666.6666666667</v>
      </c>
      <c r="F77" s="20"/>
      <c r="G77" s="20"/>
    </row>
    <row r="78">
      <c r="A78" s="8" t="s">
        <v>39</v>
      </c>
      <c r="B78" s="12" t="s">
        <v>9</v>
      </c>
      <c r="C78" s="12" t="s">
        <v>93</v>
      </c>
      <c r="D78" s="12">
        <v>3.0</v>
      </c>
      <c r="E78" s="20">
        <v>250000.0</v>
      </c>
      <c r="F78" s="20"/>
      <c r="G78" s="20"/>
    </row>
    <row r="79">
      <c r="A79" s="8" t="s">
        <v>40</v>
      </c>
      <c r="B79" s="12" t="s">
        <v>27</v>
      </c>
      <c r="C79" s="12" t="s">
        <v>93</v>
      </c>
      <c r="D79" s="12">
        <v>3.0</v>
      </c>
      <c r="E79" s="12">
        <f>J79*0.35*(-1)</f>
        <v>-492100</v>
      </c>
      <c r="F79" s="20"/>
      <c r="G79" s="20"/>
      <c r="J79" s="23">
        <f>E74+E101</f>
        <v>1406000</v>
      </c>
    </row>
    <row r="80">
      <c r="A80" s="8" t="s">
        <v>41</v>
      </c>
      <c r="B80" s="12" t="s">
        <v>9</v>
      </c>
      <c r="C80" s="12" t="s">
        <v>93</v>
      </c>
      <c r="D80" s="12">
        <v>3.0</v>
      </c>
      <c r="E80" s="12">
        <f>E76*0.5*(-1)</f>
        <v>-104166.6667</v>
      </c>
      <c r="F80" s="20"/>
      <c r="G80" s="20"/>
    </row>
    <row r="81">
      <c r="A81" s="8" t="s">
        <v>52</v>
      </c>
      <c r="B81" s="12" t="s">
        <v>9</v>
      </c>
      <c r="C81" s="12" t="s">
        <v>93</v>
      </c>
      <c r="D81" s="12">
        <v>3.0</v>
      </c>
      <c r="E81" s="12">
        <v>-33333.3333333333</v>
      </c>
      <c r="F81" s="20"/>
      <c r="G81" s="20"/>
    </row>
    <row r="82">
      <c r="A82" s="8" t="s">
        <v>57</v>
      </c>
      <c r="B82" s="12" t="s">
        <v>9</v>
      </c>
      <c r="C82" s="12" t="s">
        <v>93</v>
      </c>
      <c r="D82" s="12">
        <v>3.0</v>
      </c>
      <c r="E82" s="12">
        <v>-320000.0</v>
      </c>
      <c r="F82" s="20"/>
      <c r="G82" s="20"/>
    </row>
    <row r="83">
      <c r="A83" s="2" t="s">
        <v>7</v>
      </c>
      <c r="B83" s="4" t="s">
        <v>9</v>
      </c>
      <c r="C83" s="4" t="s">
        <v>94</v>
      </c>
      <c r="D83" s="4">
        <v>4.0</v>
      </c>
      <c r="E83" s="83">
        <f>'Макшанова'!AJ37</f>
        <v>722000</v>
      </c>
      <c r="F83" s="95"/>
      <c r="G83" s="95"/>
    </row>
    <row r="84">
      <c r="A84" s="2" t="s">
        <v>32</v>
      </c>
      <c r="B84" s="4" t="s">
        <v>9</v>
      </c>
      <c r="C84" s="4" t="s">
        <v>94</v>
      </c>
      <c r="D84" s="4">
        <v>4.0</v>
      </c>
      <c r="E84" s="86">
        <v>36600.0</v>
      </c>
      <c r="F84" s="95"/>
      <c r="G84" s="95"/>
    </row>
    <row r="85">
      <c r="A85" s="2" t="s">
        <v>37</v>
      </c>
      <c r="B85" s="4" t="s">
        <v>9</v>
      </c>
      <c r="C85" s="4" t="s">
        <v>94</v>
      </c>
      <c r="D85" s="4">
        <v>4.0</v>
      </c>
      <c r="E85" s="83">
        <v>208333.3333</v>
      </c>
      <c r="F85" s="95"/>
      <c r="G85" s="95"/>
    </row>
    <row r="86">
      <c r="A86" s="2" t="s">
        <v>38</v>
      </c>
      <c r="B86" s="4" t="s">
        <v>9</v>
      </c>
      <c r="C86" s="4" t="s">
        <v>94</v>
      </c>
      <c r="D86" s="4">
        <v>4.0</v>
      </c>
      <c r="E86" s="86">
        <f>'Бюджет 2026'!S9/12</f>
        <v>291666.6667</v>
      </c>
      <c r="F86" s="95"/>
      <c r="G86" s="95"/>
    </row>
    <row r="87">
      <c r="A87" s="2" t="s">
        <v>39</v>
      </c>
      <c r="B87" s="4" t="s">
        <v>9</v>
      </c>
      <c r="C87" s="4" t="s">
        <v>94</v>
      </c>
      <c r="D87" s="4">
        <v>4.0</v>
      </c>
      <c r="E87" s="86">
        <f>'Бюджет 2026'!S10/12</f>
        <v>250000</v>
      </c>
      <c r="F87" s="95"/>
      <c r="G87" s="95"/>
    </row>
    <row r="88">
      <c r="A88" s="2" t="s">
        <v>40</v>
      </c>
      <c r="B88" s="4" t="s">
        <v>27</v>
      </c>
      <c r="C88" s="4" t="s">
        <v>94</v>
      </c>
      <c r="D88" s="4">
        <v>4.0</v>
      </c>
      <c r="E88" s="12" t="str">
        <f>J88*0.35*(-1)</f>
        <v>#VALUE!</v>
      </c>
      <c r="F88" s="95"/>
      <c r="G88" s="95"/>
      <c r="J88" s="23" t="str">
        <f>E83+E110</f>
        <v>#VALUE!</v>
      </c>
    </row>
    <row r="89">
      <c r="A89" s="2" t="s">
        <v>41</v>
      </c>
      <c r="B89" s="4" t="s">
        <v>9</v>
      </c>
      <c r="C89" s="4" t="s">
        <v>94</v>
      </c>
      <c r="D89" s="4">
        <v>4.0</v>
      </c>
      <c r="E89" s="83">
        <f>E85*0.5*(-1)</f>
        <v>-104166.6667</v>
      </c>
      <c r="F89" s="95"/>
      <c r="G89" s="95"/>
    </row>
    <row r="90">
      <c r="A90" s="2" t="s">
        <v>52</v>
      </c>
      <c r="B90" s="4" t="s">
        <v>9</v>
      </c>
      <c r="C90" s="4" t="s">
        <v>94</v>
      </c>
      <c r="D90" s="4">
        <v>4.0</v>
      </c>
      <c r="E90" s="83">
        <v>-33333.3333333333</v>
      </c>
      <c r="F90" s="95"/>
      <c r="G90" s="95"/>
    </row>
    <row r="91">
      <c r="A91" s="2" t="s">
        <v>57</v>
      </c>
      <c r="B91" s="4" t="s">
        <v>9</v>
      </c>
      <c r="C91" s="4" t="s">
        <v>94</v>
      </c>
      <c r="D91" s="4">
        <v>4.0</v>
      </c>
      <c r="E91" s="83">
        <v>-320000.0</v>
      </c>
      <c r="F91" s="95"/>
      <c r="G91" s="95"/>
    </row>
    <row r="92">
      <c r="A92" s="8" t="s">
        <v>7</v>
      </c>
      <c r="B92" s="12" t="s">
        <v>9</v>
      </c>
      <c r="C92" s="12" t="s">
        <v>95</v>
      </c>
      <c r="D92" s="12">
        <v>4.0</v>
      </c>
      <c r="E92" s="12">
        <f>'Макшанова'!AM37</f>
        <v>756200</v>
      </c>
      <c r="F92" s="20"/>
      <c r="G92" s="20"/>
    </row>
    <row r="93">
      <c r="A93" s="8" t="s">
        <v>32</v>
      </c>
      <c r="B93" s="12" t="s">
        <v>9</v>
      </c>
      <c r="C93" s="12" t="s">
        <v>95</v>
      </c>
      <c r="D93" s="12">
        <v>4.0</v>
      </c>
      <c r="E93" s="20">
        <f>36600+6100</f>
        <v>42700</v>
      </c>
      <c r="F93" s="20"/>
      <c r="G93" s="20"/>
    </row>
    <row r="94">
      <c r="A94" s="8" t="s">
        <v>37</v>
      </c>
      <c r="B94" s="12" t="s">
        <v>9</v>
      </c>
      <c r="C94" s="12" t="s">
        <v>95</v>
      </c>
      <c r="D94" s="12">
        <v>4.0</v>
      </c>
      <c r="E94" s="20">
        <f>'Бюджет 2026'!S8/12</f>
        <v>208333.3333</v>
      </c>
      <c r="F94" s="20"/>
      <c r="G94" s="20"/>
    </row>
    <row r="95">
      <c r="A95" s="8" t="s">
        <v>38</v>
      </c>
      <c r="B95" s="12" t="s">
        <v>9</v>
      </c>
      <c r="C95" s="12" t="s">
        <v>95</v>
      </c>
      <c r="D95" s="12">
        <v>4.0</v>
      </c>
      <c r="E95" s="20">
        <f>'Бюджет 2026'!S9/12</f>
        <v>291666.6667</v>
      </c>
      <c r="F95" s="20"/>
      <c r="G95" s="20"/>
    </row>
    <row r="96">
      <c r="A96" s="8" t="s">
        <v>39</v>
      </c>
      <c r="B96" s="12" t="s">
        <v>9</v>
      </c>
      <c r="C96" s="12" t="s">
        <v>95</v>
      </c>
      <c r="D96" s="12">
        <v>4.0</v>
      </c>
      <c r="E96" s="20">
        <v>250000.0</v>
      </c>
      <c r="F96" s="20"/>
      <c r="G96" s="20"/>
    </row>
    <row r="97">
      <c r="A97" s="8" t="s">
        <v>40</v>
      </c>
      <c r="B97" s="12" t="s">
        <v>27</v>
      </c>
      <c r="C97" s="12" t="s">
        <v>95</v>
      </c>
      <c r="D97" s="12">
        <v>4.0</v>
      </c>
      <c r="E97" s="12">
        <f>J97*0.35*(-1)</f>
        <v>-152670</v>
      </c>
      <c r="F97" s="20"/>
      <c r="G97" s="20"/>
      <c r="J97" s="23">
        <f>E92+E119</f>
        <v>436200</v>
      </c>
    </row>
    <row r="98">
      <c r="A98" s="8" t="s">
        <v>41</v>
      </c>
      <c r="B98" s="12" t="s">
        <v>9</v>
      </c>
      <c r="C98" s="12" t="s">
        <v>95</v>
      </c>
      <c r="D98" s="12">
        <v>4.0</v>
      </c>
      <c r="E98" s="12">
        <f>E94*0.5*(-1)</f>
        <v>-104166.6667</v>
      </c>
      <c r="F98" s="20"/>
      <c r="G98" s="20"/>
    </row>
    <row r="99">
      <c r="A99" s="8" t="s">
        <v>52</v>
      </c>
      <c r="B99" s="12" t="s">
        <v>9</v>
      </c>
      <c r="C99" s="12" t="s">
        <v>95</v>
      </c>
      <c r="D99" s="12">
        <v>4.0</v>
      </c>
      <c r="E99" s="12">
        <v>-33333.3333333333</v>
      </c>
      <c r="F99" s="20"/>
      <c r="G99" s="20"/>
    </row>
    <row r="100">
      <c r="A100" s="8" t="s">
        <v>57</v>
      </c>
      <c r="B100" s="12" t="s">
        <v>9</v>
      </c>
      <c r="C100" s="12" t="s">
        <v>95</v>
      </c>
      <c r="D100" s="12">
        <v>4.0</v>
      </c>
      <c r="E100" s="12">
        <v>-320000.0</v>
      </c>
      <c r="F100" s="20"/>
      <c r="G100" s="20"/>
    </row>
    <row r="101">
      <c r="A101" s="82" t="s">
        <v>7</v>
      </c>
      <c r="B101" s="4" t="s">
        <v>9</v>
      </c>
      <c r="C101" s="4" t="s">
        <v>96</v>
      </c>
      <c r="D101" s="4">
        <v>4.0</v>
      </c>
      <c r="E101" s="83">
        <f>'Макшанова'!AP37</f>
        <v>798000</v>
      </c>
      <c r="F101" s="95"/>
      <c r="G101" s="95"/>
    </row>
    <row r="102">
      <c r="A102" s="2" t="s">
        <v>32</v>
      </c>
      <c r="B102" s="4" t="s">
        <v>9</v>
      </c>
      <c r="C102" s="4" t="s">
        <v>96</v>
      </c>
      <c r="D102" s="4">
        <v>4.0</v>
      </c>
      <c r="E102" s="86">
        <f>36600+6100</f>
        <v>42700</v>
      </c>
      <c r="F102" s="95"/>
      <c r="G102" s="95"/>
    </row>
    <row r="103">
      <c r="A103" s="2" t="s">
        <v>37</v>
      </c>
      <c r="B103" s="4" t="s">
        <v>9</v>
      </c>
      <c r="C103" s="4" t="s">
        <v>96</v>
      </c>
      <c r="D103" s="4">
        <v>4.0</v>
      </c>
      <c r="E103" s="86">
        <f t="shared" ref="E103:E104" si="1">E94</f>
        <v>208333.3333</v>
      </c>
      <c r="F103" s="95"/>
      <c r="G103" s="95"/>
    </row>
    <row r="104">
      <c r="A104" s="82" t="s">
        <v>38</v>
      </c>
      <c r="B104" s="4" t="s">
        <v>9</v>
      </c>
      <c r="C104" s="4" t="s">
        <v>96</v>
      </c>
      <c r="D104" s="4">
        <v>4.0</v>
      </c>
      <c r="E104" s="86">
        <f t="shared" si="1"/>
        <v>291666.6667</v>
      </c>
      <c r="F104" s="95"/>
      <c r="G104" s="95"/>
    </row>
    <row r="105">
      <c r="A105" s="82" t="s">
        <v>39</v>
      </c>
      <c r="B105" s="4" t="s">
        <v>9</v>
      </c>
      <c r="C105" s="4" t="s">
        <v>96</v>
      </c>
      <c r="D105" s="4">
        <v>4.0</v>
      </c>
      <c r="E105" s="86">
        <v>250000.0</v>
      </c>
      <c r="F105" s="95"/>
      <c r="G105" s="95"/>
    </row>
    <row r="106">
      <c r="A106" s="82" t="s">
        <v>40</v>
      </c>
      <c r="B106" s="4" t="s">
        <v>27</v>
      </c>
      <c r="C106" s="4" t="s">
        <v>96</v>
      </c>
      <c r="D106" s="4">
        <v>4.0</v>
      </c>
      <c r="E106" s="12">
        <f>J106*0.35*(-1)</f>
        <v>-167300</v>
      </c>
      <c r="F106" s="95"/>
      <c r="G106" s="95"/>
      <c r="J106" s="23">
        <f>E101+E128</f>
        <v>478000</v>
      </c>
    </row>
    <row r="107">
      <c r="A107" s="82" t="s">
        <v>41</v>
      </c>
      <c r="B107" s="4" t="s">
        <v>9</v>
      </c>
      <c r="C107" s="4" t="s">
        <v>96</v>
      </c>
      <c r="D107" s="4">
        <v>4.0</v>
      </c>
      <c r="E107" s="83">
        <f>E103*0.5*(-1)</f>
        <v>-104166.6667</v>
      </c>
      <c r="F107" s="95"/>
      <c r="G107" s="95"/>
    </row>
    <row r="108">
      <c r="A108" s="2" t="s">
        <v>52</v>
      </c>
      <c r="B108" s="4" t="s">
        <v>9</v>
      </c>
      <c r="C108" s="4" t="s">
        <v>96</v>
      </c>
      <c r="D108" s="4">
        <v>4.0</v>
      </c>
      <c r="E108" s="83">
        <v>-33333.3333333333</v>
      </c>
      <c r="F108" s="95"/>
      <c r="G108" s="95"/>
    </row>
    <row r="109">
      <c r="A109" s="2" t="s">
        <v>57</v>
      </c>
      <c r="B109" s="4" t="s">
        <v>9</v>
      </c>
      <c r="C109" s="4" t="s">
        <v>96</v>
      </c>
      <c r="D109" s="4">
        <v>4.0</v>
      </c>
      <c r="E109" s="83">
        <v>-320000.0</v>
      </c>
      <c r="F109" s="95"/>
      <c r="G109" s="95"/>
    </row>
    <row r="110">
      <c r="A110" s="2">
        <v>0.0</v>
      </c>
      <c r="B110" s="4" t="s">
        <v>0</v>
      </c>
      <c r="C110" s="4" t="s">
        <v>2</v>
      </c>
      <c r="D110" s="4" t="s">
        <v>3</v>
      </c>
      <c r="E110" s="4" t="s">
        <v>4</v>
      </c>
      <c r="F110" s="4" t="s">
        <v>5</v>
      </c>
      <c r="G110" s="4" t="s">
        <v>6</v>
      </c>
    </row>
    <row r="111">
      <c r="A111" s="8" t="s">
        <v>7</v>
      </c>
      <c r="B111" s="12" t="s">
        <v>9</v>
      </c>
      <c r="C111" s="12" t="s">
        <v>10</v>
      </c>
      <c r="D111" s="12">
        <v>1.0</v>
      </c>
      <c r="E111" s="20" t="str">
        <f>'Макшанова'!H149</f>
        <v/>
      </c>
      <c r="F111" s="20"/>
      <c r="G111" s="20"/>
    </row>
    <row r="112">
      <c r="A112" s="8" t="s">
        <v>32</v>
      </c>
      <c r="B112" s="12" t="s">
        <v>9</v>
      </c>
      <c r="C112" s="12" t="s">
        <v>10</v>
      </c>
      <c r="D112" s="12">
        <v>1.0</v>
      </c>
      <c r="E112" s="20">
        <f>6100*4</f>
        <v>24400</v>
      </c>
      <c r="F112" s="20"/>
      <c r="G112" s="20"/>
    </row>
    <row r="113">
      <c r="A113" s="8" t="s">
        <v>37</v>
      </c>
      <c r="B113" s="12" t="s">
        <v>9</v>
      </c>
      <c r="C113" s="12" t="s">
        <v>10</v>
      </c>
      <c r="D113" s="12">
        <v>1.0</v>
      </c>
      <c r="E113" s="12">
        <f>'Бюджет 2026'!S117/12</f>
        <v>0</v>
      </c>
      <c r="F113" s="20"/>
      <c r="G113" s="20"/>
    </row>
    <row r="114">
      <c r="A114" s="8" t="s">
        <v>38</v>
      </c>
      <c r="B114" s="12" t="s">
        <v>9</v>
      </c>
      <c r="C114" s="12" t="s">
        <v>10</v>
      </c>
      <c r="D114" s="12">
        <v>1.0</v>
      </c>
      <c r="E114" s="20">
        <f>'Бюджет 2026'!S118/12</f>
        <v>0</v>
      </c>
      <c r="F114" s="20"/>
      <c r="G114" s="20"/>
    </row>
    <row r="115">
      <c r="A115" s="8" t="s">
        <v>39</v>
      </c>
      <c r="B115" s="12" t="s">
        <v>9</v>
      </c>
      <c r="C115" s="12" t="s">
        <v>10</v>
      </c>
      <c r="D115" s="12">
        <v>1.0</v>
      </c>
      <c r="E115" s="20">
        <f>59000*2</f>
        <v>118000</v>
      </c>
      <c r="F115" s="20"/>
      <c r="G115" s="20"/>
    </row>
    <row r="116">
      <c r="A116" s="8" t="s">
        <v>40</v>
      </c>
      <c r="B116" s="12" t="s">
        <v>27</v>
      </c>
      <c r="C116" s="12" t="s">
        <v>10</v>
      </c>
      <c r="D116" s="12">
        <v>1.0</v>
      </c>
      <c r="E116" s="12">
        <f>J116*0.35*(-1)</f>
        <v>0</v>
      </c>
      <c r="F116" s="20"/>
      <c r="G116" s="20"/>
      <c r="J116" s="23">
        <f>E111+E138</f>
        <v>0</v>
      </c>
    </row>
    <row r="117">
      <c r="A117" s="8" t="s">
        <v>41</v>
      </c>
      <c r="B117" s="12" t="s">
        <v>9</v>
      </c>
      <c r="C117" s="12" t="s">
        <v>10</v>
      </c>
      <c r="D117" s="12">
        <v>1.0</v>
      </c>
      <c r="E117" s="20"/>
      <c r="F117" s="20"/>
      <c r="G117" s="20"/>
    </row>
    <row r="118">
      <c r="A118" s="8" t="s">
        <v>52</v>
      </c>
      <c r="B118" s="12" t="s">
        <v>9</v>
      </c>
      <c r="C118" s="12" t="s">
        <v>10</v>
      </c>
      <c r="D118" s="12">
        <v>1.0</v>
      </c>
      <c r="E118" s="12">
        <v>-20000.0</v>
      </c>
      <c r="F118" s="20"/>
      <c r="G118" s="20"/>
    </row>
    <row r="119">
      <c r="A119" s="8" t="s">
        <v>57</v>
      </c>
      <c r="B119" s="12" t="s">
        <v>9</v>
      </c>
      <c r="C119" s="12" t="s">
        <v>10</v>
      </c>
      <c r="D119" s="12">
        <v>1.0</v>
      </c>
      <c r="E119" s="12">
        <v>-320000.0</v>
      </c>
      <c r="F119" s="20"/>
      <c r="G119" s="20"/>
    </row>
    <row r="120">
      <c r="A120" s="2" t="s">
        <v>7</v>
      </c>
      <c r="B120" s="4" t="s">
        <v>9</v>
      </c>
      <c r="C120" s="4" t="s">
        <v>76</v>
      </c>
      <c r="D120" s="4">
        <v>1.0</v>
      </c>
      <c r="E120" s="4" t="str">
        <f>'Макшанова'!L130</f>
        <v/>
      </c>
      <c r="F120" s="95"/>
      <c r="G120" s="95"/>
    </row>
    <row r="121">
      <c r="A121" s="2" t="s">
        <v>32</v>
      </c>
      <c r="B121" s="4" t="s">
        <v>9</v>
      </c>
      <c r="C121" s="4" t="s">
        <v>76</v>
      </c>
      <c r="D121" s="4">
        <v>1.0</v>
      </c>
      <c r="E121" s="4">
        <v>30500.0</v>
      </c>
      <c r="F121" s="95"/>
      <c r="G121" s="95"/>
    </row>
    <row r="122">
      <c r="A122" s="2" t="s">
        <v>37</v>
      </c>
      <c r="B122" s="4" t="s">
        <v>9</v>
      </c>
      <c r="C122" s="4" t="s">
        <v>76</v>
      </c>
      <c r="D122" s="4">
        <v>1.0</v>
      </c>
      <c r="E122" s="95">
        <f>'Бюджет 2026'!S98/12</f>
        <v>0</v>
      </c>
      <c r="F122" s="95"/>
      <c r="G122" s="95"/>
    </row>
    <row r="123">
      <c r="A123" s="2" t="s">
        <v>38</v>
      </c>
      <c r="B123" s="4" t="s">
        <v>9</v>
      </c>
      <c r="C123" s="4" t="s">
        <v>76</v>
      </c>
      <c r="D123" s="4">
        <v>1.0</v>
      </c>
      <c r="E123" s="95">
        <f>'Бюджет 2026'!S99/12</f>
        <v>0</v>
      </c>
      <c r="F123" s="95"/>
      <c r="G123" s="95"/>
    </row>
    <row r="124">
      <c r="A124" s="2" t="s">
        <v>39</v>
      </c>
      <c r="B124" s="4" t="s">
        <v>9</v>
      </c>
      <c r="C124" s="4" t="s">
        <v>76</v>
      </c>
      <c r="D124" s="4">
        <v>1.0</v>
      </c>
      <c r="E124" s="95">
        <f>59000*3</f>
        <v>177000</v>
      </c>
      <c r="F124" s="95"/>
      <c r="G124" s="95"/>
    </row>
    <row r="125">
      <c r="A125" s="2" t="s">
        <v>40</v>
      </c>
      <c r="B125" s="4" t="s">
        <v>27</v>
      </c>
      <c r="C125" s="4" t="s">
        <v>76</v>
      </c>
      <c r="D125" s="4">
        <v>1.0</v>
      </c>
      <c r="E125" s="12">
        <f>J125*0.35*(-1)</f>
        <v>0</v>
      </c>
      <c r="F125" s="95"/>
      <c r="G125" s="95"/>
      <c r="J125" s="23">
        <f>E120+E147</f>
        <v>0</v>
      </c>
    </row>
    <row r="126">
      <c r="A126" s="2" t="s">
        <v>41</v>
      </c>
      <c r="B126" s="4" t="s">
        <v>9</v>
      </c>
      <c r="C126" s="4" t="s">
        <v>76</v>
      </c>
      <c r="D126" s="4">
        <v>1.0</v>
      </c>
      <c r="E126" s="4">
        <v>-113636.363636364</v>
      </c>
      <c r="F126" s="95"/>
      <c r="G126" s="95"/>
    </row>
    <row r="127">
      <c r="A127" s="2" t="s">
        <v>52</v>
      </c>
      <c r="B127" s="4" t="s">
        <v>9</v>
      </c>
      <c r="C127" s="4" t="s">
        <v>76</v>
      </c>
      <c r="D127" s="4">
        <v>1.0</v>
      </c>
      <c r="E127" s="83">
        <v>-33333.3333333333</v>
      </c>
      <c r="F127" s="95"/>
      <c r="G127" s="95"/>
    </row>
    <row r="128">
      <c r="A128" s="2" t="s">
        <v>57</v>
      </c>
      <c r="B128" s="4" t="s">
        <v>9</v>
      </c>
      <c r="C128" s="4" t="s">
        <v>76</v>
      </c>
      <c r="D128" s="4">
        <v>1.0</v>
      </c>
      <c r="E128" s="83">
        <v>-320000.0</v>
      </c>
      <c r="F128" s="95"/>
      <c r="G128" s="95"/>
    </row>
    <row r="129">
      <c r="A129" s="8" t="s">
        <v>7</v>
      </c>
      <c r="B129" s="12" t="s">
        <v>9</v>
      </c>
      <c r="C129" s="12" t="s">
        <v>88</v>
      </c>
      <c r="D129" s="12">
        <v>1.0</v>
      </c>
      <c r="E129" s="20" t="str">
        <f>'Макшанова'!O111</f>
        <v/>
      </c>
      <c r="F129" s="20"/>
      <c r="G129" s="20"/>
    </row>
    <row r="130">
      <c r="A130" s="8" t="s">
        <v>32</v>
      </c>
      <c r="B130" s="12" t="s">
        <v>9</v>
      </c>
      <c r="C130" s="12" t="s">
        <v>88</v>
      </c>
      <c r="D130" s="12">
        <v>1.0</v>
      </c>
      <c r="E130" s="12">
        <f>30500+6100</f>
        <v>36600</v>
      </c>
      <c r="F130" s="20"/>
      <c r="G130" s="20"/>
    </row>
    <row r="131">
      <c r="A131" s="8" t="s">
        <v>37</v>
      </c>
      <c r="B131" s="12" t="s">
        <v>9</v>
      </c>
      <c r="C131" s="12" t="s">
        <v>88</v>
      </c>
      <c r="D131" s="12">
        <v>1.0</v>
      </c>
      <c r="E131" s="20">
        <f>'Бюджет 2026'!S79/12</f>
        <v>0</v>
      </c>
      <c r="F131" s="20"/>
      <c r="G131" s="20"/>
    </row>
    <row r="132">
      <c r="A132" s="8" t="s">
        <v>38</v>
      </c>
      <c r="B132" s="12" t="s">
        <v>9</v>
      </c>
      <c r="C132" s="12" t="s">
        <v>88</v>
      </c>
      <c r="D132" s="12">
        <v>1.0</v>
      </c>
      <c r="E132" s="20">
        <f>'Бюджет 2026'!S80/12</f>
        <v>0</v>
      </c>
      <c r="F132" s="20"/>
      <c r="G132" s="20"/>
    </row>
    <row r="133">
      <c r="A133" s="8" t="s">
        <v>39</v>
      </c>
      <c r="B133" s="12" t="s">
        <v>9</v>
      </c>
      <c r="C133" s="12" t="s">
        <v>88</v>
      </c>
      <c r="D133" s="12">
        <v>1.0</v>
      </c>
      <c r="E133" s="20">
        <f>'Бюджет 2026'!S81/12</f>
        <v>0</v>
      </c>
      <c r="F133" s="20"/>
      <c r="G133" s="20"/>
    </row>
    <row r="134">
      <c r="A134" s="8" t="s">
        <v>40</v>
      </c>
      <c r="B134" s="12" t="s">
        <v>27</v>
      </c>
      <c r="C134" s="12" t="s">
        <v>88</v>
      </c>
      <c r="D134" s="12">
        <v>1.0</v>
      </c>
      <c r="E134" s="12">
        <f>J134*0.35*(-1)</f>
        <v>0</v>
      </c>
      <c r="F134" s="20"/>
      <c r="G134" s="20"/>
      <c r="J134" s="23">
        <f>E129+E156</f>
        <v>0</v>
      </c>
    </row>
    <row r="135">
      <c r="A135" s="8" t="s">
        <v>41</v>
      </c>
      <c r="B135" s="12" t="s">
        <v>9</v>
      </c>
      <c r="C135" s="12" t="s">
        <v>88</v>
      </c>
      <c r="D135" s="12">
        <v>1.0</v>
      </c>
      <c r="E135" s="12">
        <v>-227272.727272727</v>
      </c>
      <c r="F135" s="20"/>
      <c r="G135" s="20"/>
    </row>
    <row r="136">
      <c r="A136" s="8" t="s">
        <v>52</v>
      </c>
      <c r="B136" s="12" t="s">
        <v>9</v>
      </c>
      <c r="C136" s="12" t="s">
        <v>88</v>
      </c>
      <c r="D136" s="12">
        <v>1.0</v>
      </c>
      <c r="E136" s="12">
        <v>-33333.3333333333</v>
      </c>
      <c r="F136" s="20"/>
      <c r="G136" s="20"/>
    </row>
    <row r="137">
      <c r="A137" s="8" t="s">
        <v>57</v>
      </c>
      <c r="B137" s="12" t="s">
        <v>9</v>
      </c>
      <c r="C137" s="12" t="s">
        <v>88</v>
      </c>
      <c r="D137" s="12">
        <v>1.0</v>
      </c>
      <c r="E137" s="12">
        <v>-320000.0</v>
      </c>
      <c r="F137" s="20"/>
      <c r="G137" s="20"/>
    </row>
    <row r="138">
      <c r="A138" s="2" t="s">
        <v>7</v>
      </c>
      <c r="B138" s="4" t="s">
        <v>9</v>
      </c>
      <c r="C138" s="4" t="s">
        <v>89</v>
      </c>
      <c r="D138" s="4">
        <v>2.0</v>
      </c>
      <c r="E138" s="86" t="str">
        <f>'Макшанова'!R92</f>
        <v/>
      </c>
      <c r="F138" s="95"/>
      <c r="G138" s="95"/>
    </row>
    <row r="139">
      <c r="A139" s="2" t="s">
        <v>32</v>
      </c>
      <c r="B139" s="4" t="s">
        <v>9</v>
      </c>
      <c r="C139" s="4" t="s">
        <v>89</v>
      </c>
      <c r="D139" s="4">
        <v>2.0</v>
      </c>
      <c r="E139" s="83">
        <f>30500+6100</f>
        <v>36600</v>
      </c>
      <c r="F139" s="95"/>
      <c r="G139" s="95"/>
    </row>
    <row r="140">
      <c r="A140" s="2" t="s">
        <v>37</v>
      </c>
      <c r="B140" s="4" t="s">
        <v>9</v>
      </c>
      <c r="C140" s="4" t="s">
        <v>89</v>
      </c>
      <c r="D140" s="4">
        <v>2.0</v>
      </c>
      <c r="E140" s="86">
        <f>'Бюджет 2026'!S60/12</f>
        <v>330841.7058</v>
      </c>
      <c r="F140" s="95"/>
      <c r="G140" s="95"/>
    </row>
    <row r="141">
      <c r="A141" s="2" t="s">
        <v>38</v>
      </c>
      <c r="B141" s="4" t="s">
        <v>9</v>
      </c>
      <c r="C141" s="4" t="s">
        <v>89</v>
      </c>
      <c r="D141" s="4">
        <v>2.0</v>
      </c>
      <c r="E141" s="86">
        <f>'Бюджет 2026'!S61/12</f>
        <v>1242516.745</v>
      </c>
      <c r="F141" s="95"/>
      <c r="G141" s="95"/>
    </row>
    <row r="142">
      <c r="A142" s="2" t="s">
        <v>39</v>
      </c>
      <c r="B142" s="4" t="s">
        <v>9</v>
      </c>
      <c r="C142" s="4" t="s">
        <v>89</v>
      </c>
      <c r="D142" s="4">
        <v>2.0</v>
      </c>
      <c r="E142" s="86">
        <f>'Бюджет 2026'!S89/12</f>
        <v>0</v>
      </c>
      <c r="F142" s="95"/>
      <c r="G142" s="95"/>
    </row>
    <row r="143">
      <c r="A143" s="2" t="s">
        <v>40</v>
      </c>
      <c r="B143" s="4" t="s">
        <v>27</v>
      </c>
      <c r="C143" s="4" t="s">
        <v>89</v>
      </c>
      <c r="D143" s="4">
        <v>2.0</v>
      </c>
      <c r="E143" s="12">
        <f>J143*0.35*(-1)</f>
        <v>0</v>
      </c>
      <c r="F143" s="95"/>
      <c r="G143" s="95"/>
      <c r="J143" s="23">
        <f>E138+E165</f>
        <v>0</v>
      </c>
    </row>
    <row r="144">
      <c r="A144" s="2" t="s">
        <v>41</v>
      </c>
      <c r="B144" s="4" t="s">
        <v>9</v>
      </c>
      <c r="C144" s="4" t="s">
        <v>89</v>
      </c>
      <c r="D144" s="4">
        <v>2.0</v>
      </c>
      <c r="E144" s="83">
        <v>-170181.818181818</v>
      </c>
      <c r="F144" s="95"/>
      <c r="G144" s="95"/>
    </row>
    <row r="145">
      <c r="A145" s="2" t="s">
        <v>52</v>
      </c>
      <c r="B145" s="4" t="s">
        <v>9</v>
      </c>
      <c r="C145" s="4" t="s">
        <v>89</v>
      </c>
      <c r="D145" s="4">
        <v>2.0</v>
      </c>
      <c r="E145" s="83">
        <v>-33333.3333333333</v>
      </c>
      <c r="F145" s="95"/>
      <c r="G145" s="95"/>
    </row>
    <row r="146">
      <c r="A146" s="2" t="s">
        <v>57</v>
      </c>
      <c r="B146" s="4" t="s">
        <v>9</v>
      </c>
      <c r="C146" s="4" t="s">
        <v>89</v>
      </c>
      <c r="D146" s="4">
        <v>2.0</v>
      </c>
      <c r="E146" s="83">
        <v>-320000.0</v>
      </c>
      <c r="F146" s="95"/>
      <c r="G146" s="95"/>
    </row>
    <row r="147">
      <c r="A147" s="8" t="s">
        <v>7</v>
      </c>
      <c r="B147" s="12" t="s">
        <v>9</v>
      </c>
      <c r="C147" s="12" t="s">
        <v>28</v>
      </c>
      <c r="D147" s="12">
        <v>2.0</v>
      </c>
      <c r="E147" s="20" t="str">
        <f>'Макшанова'!R73</f>
        <v/>
      </c>
      <c r="F147" s="20"/>
      <c r="G147" s="20"/>
    </row>
    <row r="148">
      <c r="A148" s="8" t="s">
        <v>32</v>
      </c>
      <c r="B148" s="12" t="s">
        <v>9</v>
      </c>
      <c r="C148" s="12" t="s">
        <v>28</v>
      </c>
      <c r="D148" s="12">
        <v>2.0</v>
      </c>
      <c r="E148" s="12">
        <v>36600.0</v>
      </c>
      <c r="F148" s="20"/>
      <c r="G148" s="20"/>
    </row>
    <row r="149">
      <c r="A149" s="8" t="s">
        <v>37</v>
      </c>
      <c r="B149" s="12" t="s">
        <v>9</v>
      </c>
      <c r="C149" s="12" t="s">
        <v>28</v>
      </c>
      <c r="D149" s="12">
        <v>2.0</v>
      </c>
      <c r="E149" s="20" t="str">
        <f>'Бюджет 2026'!S41/12</f>
        <v>#VALUE!</v>
      </c>
      <c r="F149" s="20"/>
      <c r="G149" s="20"/>
    </row>
    <row r="150">
      <c r="A150" s="8" t="s">
        <v>38</v>
      </c>
      <c r="B150" s="12" t="s">
        <v>9</v>
      </c>
      <c r="C150" s="12" t="s">
        <v>28</v>
      </c>
      <c r="D150" s="12">
        <v>2.0</v>
      </c>
      <c r="E150" s="20">
        <f>'Бюджет 2026'!S42/12</f>
        <v>320000</v>
      </c>
      <c r="F150" s="20"/>
      <c r="G150" s="20"/>
    </row>
    <row r="151">
      <c r="A151" s="8" t="s">
        <v>39</v>
      </c>
      <c r="B151" s="12" t="s">
        <v>9</v>
      </c>
      <c r="C151" s="12" t="s">
        <v>28</v>
      </c>
      <c r="D151" s="12">
        <v>2.0</v>
      </c>
      <c r="E151" s="20">
        <f>'Бюджет 2026'!S43/12</f>
        <v>83333.33333</v>
      </c>
      <c r="F151" s="20"/>
      <c r="G151" s="20"/>
    </row>
    <row r="152">
      <c r="A152" s="8" t="s">
        <v>40</v>
      </c>
      <c r="B152" s="12" t="s">
        <v>27</v>
      </c>
      <c r="C152" s="12" t="s">
        <v>28</v>
      </c>
      <c r="D152" s="12">
        <v>2.0</v>
      </c>
      <c r="E152" s="12">
        <f>J152*0.35*(-1)</f>
        <v>0</v>
      </c>
      <c r="F152" s="20"/>
      <c r="G152" s="20"/>
      <c r="J152" s="23">
        <f>E147+E174</f>
        <v>0</v>
      </c>
    </row>
    <row r="153">
      <c r="A153" s="8" t="s">
        <v>41</v>
      </c>
      <c r="B153" s="12" t="s">
        <v>9</v>
      </c>
      <c r="C153" s="12" t="s">
        <v>28</v>
      </c>
      <c r="D153" s="12">
        <v>2.0</v>
      </c>
      <c r="E153" s="12">
        <v>-104166.666666667</v>
      </c>
      <c r="F153" s="20"/>
      <c r="G153" s="20"/>
    </row>
    <row r="154">
      <c r="A154" s="8" t="s">
        <v>52</v>
      </c>
      <c r="B154" s="12" t="s">
        <v>9</v>
      </c>
      <c r="C154" s="12" t="s">
        <v>28</v>
      </c>
      <c r="D154" s="12">
        <v>2.0</v>
      </c>
      <c r="E154" s="12">
        <v>-33333.3333333333</v>
      </c>
      <c r="F154" s="20"/>
      <c r="G154" s="20"/>
    </row>
    <row r="155">
      <c r="A155" s="8" t="s">
        <v>57</v>
      </c>
      <c r="B155" s="12" t="s">
        <v>9</v>
      </c>
      <c r="C155" s="12" t="s">
        <v>28</v>
      </c>
      <c r="D155" s="12">
        <v>2.0</v>
      </c>
      <c r="E155" s="12">
        <v>-320000.0</v>
      </c>
      <c r="F155" s="20"/>
      <c r="G155" s="20"/>
    </row>
    <row r="156">
      <c r="A156" s="82" t="s">
        <v>7</v>
      </c>
      <c r="B156" s="83" t="s">
        <v>9</v>
      </c>
      <c r="C156" s="83" t="s">
        <v>90</v>
      </c>
      <c r="D156" s="83">
        <v>2.0</v>
      </c>
      <c r="E156" s="83" t="str">
        <f>'Макшанова'!X54</f>
        <v/>
      </c>
      <c r="F156" s="86"/>
      <c r="G156" s="86"/>
    </row>
    <row r="157">
      <c r="A157" s="82" t="s">
        <v>32</v>
      </c>
      <c r="B157" s="83" t="s">
        <v>9</v>
      </c>
      <c r="C157" s="83" t="s">
        <v>90</v>
      </c>
      <c r="D157" s="83">
        <v>2.0</v>
      </c>
      <c r="E157" s="86">
        <f>E101</f>
        <v>798000</v>
      </c>
      <c r="F157" s="86"/>
      <c r="G157" s="86"/>
    </row>
    <row r="158">
      <c r="A158" s="82" t="s">
        <v>37</v>
      </c>
      <c r="B158" s="83" t="s">
        <v>9</v>
      </c>
      <c r="C158" s="83" t="s">
        <v>90</v>
      </c>
      <c r="D158" s="83">
        <v>2.0</v>
      </c>
      <c r="E158" s="86">
        <v>208333.33333333334</v>
      </c>
      <c r="F158" s="86"/>
      <c r="G158" s="86"/>
    </row>
    <row r="159">
      <c r="A159" s="82" t="s">
        <v>38</v>
      </c>
      <c r="B159" s="83" t="s">
        <v>9</v>
      </c>
      <c r="C159" s="83" t="s">
        <v>90</v>
      </c>
      <c r="D159" s="83">
        <v>2.0</v>
      </c>
      <c r="E159" s="86">
        <v>291666.6666666667</v>
      </c>
      <c r="F159" s="86"/>
      <c r="G159" s="86"/>
    </row>
    <row r="160">
      <c r="A160" s="82" t="s">
        <v>39</v>
      </c>
      <c r="B160" s="83" t="s">
        <v>9</v>
      </c>
      <c r="C160" s="83" t="s">
        <v>90</v>
      </c>
      <c r="D160" s="83">
        <v>2.0</v>
      </c>
      <c r="E160" s="86">
        <f>E132</f>
        <v>0</v>
      </c>
      <c r="F160" s="86"/>
      <c r="G160" s="86"/>
    </row>
    <row r="161">
      <c r="A161" s="82" t="s">
        <v>40</v>
      </c>
      <c r="B161" s="83" t="s">
        <v>27</v>
      </c>
      <c r="C161" s="83" t="s">
        <v>90</v>
      </c>
      <c r="D161" s="83">
        <v>2.0</v>
      </c>
      <c r="E161" s="12" t="str">
        <f>J161*0.35*(-1)</f>
        <v>#REF!</v>
      </c>
      <c r="F161" s="86"/>
      <c r="G161" s="86"/>
      <c r="J161" s="23" t="str">
        <f>E156+E183</f>
        <v>#REF!</v>
      </c>
    </row>
    <row r="162">
      <c r="A162" s="82" t="s">
        <v>41</v>
      </c>
      <c r="B162" s="83" t="s">
        <v>9</v>
      </c>
      <c r="C162" s="83" t="s">
        <v>90</v>
      </c>
      <c r="D162" s="83">
        <v>2.0</v>
      </c>
      <c r="E162" s="83">
        <v>-83333.3333333333</v>
      </c>
      <c r="F162" s="86"/>
      <c r="G162" s="86"/>
    </row>
    <row r="163">
      <c r="A163" s="82" t="s">
        <v>52</v>
      </c>
      <c r="B163" s="83" t="s">
        <v>9</v>
      </c>
      <c r="C163" s="83" t="s">
        <v>90</v>
      </c>
      <c r="D163" s="83">
        <v>2.0</v>
      </c>
      <c r="E163" s="83">
        <v>-33333.3333333333</v>
      </c>
      <c r="F163" s="86"/>
      <c r="G163" s="86"/>
    </row>
    <row r="164">
      <c r="A164" s="82" t="s">
        <v>57</v>
      </c>
      <c r="B164" s="83" t="s">
        <v>9</v>
      </c>
      <c r="C164" s="83" t="s">
        <v>90</v>
      </c>
      <c r="D164" s="83">
        <v>2.0</v>
      </c>
      <c r="E164" s="83">
        <v>-320000.0</v>
      </c>
      <c r="F164" s="86"/>
      <c r="G164" s="86"/>
    </row>
    <row r="165">
      <c r="A165" s="8" t="s">
        <v>7</v>
      </c>
      <c r="B165" s="12" t="s">
        <v>9</v>
      </c>
      <c r="C165" s="12" t="s">
        <v>91</v>
      </c>
      <c r="D165" s="12">
        <v>3.0</v>
      </c>
      <c r="E165" s="12" t="str">
        <f>'Макшанова'!AA32</f>
        <v/>
      </c>
      <c r="F165" s="20"/>
      <c r="G165" s="20"/>
    </row>
    <row r="166">
      <c r="A166" s="8" t="s">
        <v>32</v>
      </c>
      <c r="B166" s="12" t="s">
        <v>9</v>
      </c>
      <c r="C166" s="12" t="s">
        <v>91</v>
      </c>
      <c r="D166" s="12">
        <v>3.0</v>
      </c>
      <c r="E166" s="20">
        <f>36600+3500</f>
        <v>40100</v>
      </c>
      <c r="F166" s="20"/>
      <c r="G166" s="20"/>
    </row>
    <row r="167">
      <c r="A167" s="8" t="s">
        <v>37</v>
      </c>
      <c r="B167" s="12" t="s">
        <v>9</v>
      </c>
      <c r="C167" s="12" t="s">
        <v>91</v>
      </c>
      <c r="D167" s="12">
        <v>3.0</v>
      </c>
      <c r="E167" s="20">
        <f>'Бюджет 2026'!S3/12</f>
        <v>0</v>
      </c>
      <c r="F167" s="20"/>
      <c r="G167" s="20"/>
    </row>
    <row r="168">
      <c r="A168" s="8" t="s">
        <v>38</v>
      </c>
      <c r="B168" s="12" t="s">
        <v>9</v>
      </c>
      <c r="C168" s="12" t="s">
        <v>91</v>
      </c>
      <c r="D168" s="12">
        <v>3.0</v>
      </c>
      <c r="E168" s="20">
        <v>291666.6666666667</v>
      </c>
      <c r="F168" s="20"/>
      <c r="G168" s="20"/>
    </row>
    <row r="169">
      <c r="A169" s="8" t="s">
        <v>39</v>
      </c>
      <c r="B169" s="12" t="s">
        <v>9</v>
      </c>
      <c r="C169" s="12" t="s">
        <v>91</v>
      </c>
      <c r="D169" s="12">
        <v>3.0</v>
      </c>
      <c r="E169" s="20">
        <v>250000.0</v>
      </c>
      <c r="F169" s="20"/>
      <c r="G169" s="20"/>
    </row>
    <row r="170">
      <c r="A170" s="8" t="s">
        <v>40</v>
      </c>
      <c r="B170" s="12" t="s">
        <v>27</v>
      </c>
      <c r="C170" s="12" t="s">
        <v>91</v>
      </c>
      <c r="D170" s="12">
        <v>3.0</v>
      </c>
      <c r="E170" s="12" t="str">
        <f>J170*0.35*(-1)</f>
        <v>#REF!</v>
      </c>
      <c r="F170" s="20"/>
      <c r="G170" s="20"/>
      <c r="J170" s="23" t="str">
        <f>E165+E192</f>
        <v>#REF!</v>
      </c>
    </row>
    <row r="171">
      <c r="A171" s="8" t="s">
        <v>41</v>
      </c>
      <c r="B171" s="12" t="s">
        <v>9</v>
      </c>
      <c r="C171" s="12" t="s">
        <v>91</v>
      </c>
      <c r="D171" s="12">
        <v>3.0</v>
      </c>
      <c r="E171" s="12">
        <v>-83333.3333333333</v>
      </c>
      <c r="F171" s="20"/>
      <c r="G171" s="20"/>
    </row>
    <row r="172">
      <c r="A172" s="8" t="s">
        <v>52</v>
      </c>
      <c r="B172" s="12" t="s">
        <v>9</v>
      </c>
      <c r="C172" s="12" t="s">
        <v>91</v>
      </c>
      <c r="D172" s="12">
        <v>3.0</v>
      </c>
      <c r="E172" s="12">
        <v>-33333.3333333333</v>
      </c>
      <c r="F172" s="20"/>
      <c r="G172" s="20"/>
    </row>
    <row r="173">
      <c r="A173" s="8" t="s">
        <v>57</v>
      </c>
      <c r="B173" s="12" t="s">
        <v>9</v>
      </c>
      <c r="C173" s="12" t="s">
        <v>91</v>
      </c>
      <c r="D173" s="12">
        <v>3.0</v>
      </c>
      <c r="E173" s="12">
        <v>-320000.0</v>
      </c>
      <c r="F173" s="20"/>
      <c r="G173" s="20"/>
    </row>
    <row r="174">
      <c r="A174" s="2" t="s">
        <v>7</v>
      </c>
      <c r="B174" s="4" t="s">
        <v>9</v>
      </c>
      <c r="C174" s="4" t="s">
        <v>92</v>
      </c>
      <c r="D174" s="4">
        <v>3.0</v>
      </c>
      <c r="E174" s="4" t="str">
        <f>'Макшанова'!AD12</f>
        <v/>
      </c>
      <c r="F174" s="95"/>
      <c r="G174" s="95"/>
    </row>
    <row r="175">
      <c r="A175" s="2" t="s">
        <v>32</v>
      </c>
      <c r="B175" s="4" t="s">
        <v>9</v>
      </c>
      <c r="C175" s="4" t="s">
        <v>92</v>
      </c>
      <c r="D175" s="4">
        <v>3.0</v>
      </c>
      <c r="E175" s="95">
        <v>36600.0</v>
      </c>
      <c r="F175" s="95"/>
      <c r="G175" s="95"/>
    </row>
    <row r="176">
      <c r="A176" s="2" t="s">
        <v>37</v>
      </c>
      <c r="B176" s="4" t="s">
        <v>9</v>
      </c>
      <c r="C176" s="4" t="s">
        <v>92</v>
      </c>
      <c r="D176" s="4">
        <v>3.0</v>
      </c>
      <c r="E176" s="95">
        <v>208333.33333333334</v>
      </c>
      <c r="F176" s="95"/>
      <c r="G176" s="95"/>
    </row>
    <row r="177">
      <c r="A177" s="2" t="s">
        <v>38</v>
      </c>
      <c r="B177" s="4" t="s">
        <v>9</v>
      </c>
      <c r="C177" s="4" t="s">
        <v>92</v>
      </c>
      <c r="D177" s="4">
        <v>3.0</v>
      </c>
      <c r="E177" s="95">
        <v>291666.6666666667</v>
      </c>
      <c r="F177" s="95"/>
      <c r="G177" s="95"/>
    </row>
    <row r="178">
      <c r="A178" s="82" t="s">
        <v>39</v>
      </c>
      <c r="B178" s="4" t="s">
        <v>9</v>
      </c>
      <c r="C178" s="4" t="s">
        <v>92</v>
      </c>
      <c r="D178" s="4">
        <v>3.0</v>
      </c>
      <c r="E178" s="95">
        <v>250000.0</v>
      </c>
      <c r="F178" s="95"/>
      <c r="G178" s="95"/>
    </row>
    <row r="179">
      <c r="A179" s="2" t="s">
        <v>40</v>
      </c>
      <c r="B179" s="4" t="s">
        <v>27</v>
      </c>
      <c r="C179" s="4" t="s">
        <v>92</v>
      </c>
      <c r="D179" s="4">
        <v>3.0</v>
      </c>
      <c r="E179" s="12" t="str">
        <f>J179*0.35*(-1)</f>
        <v>#REF!</v>
      </c>
      <c r="F179" s="95"/>
      <c r="G179" s="95"/>
      <c r="J179" s="23" t="str">
        <f>E174+E201</f>
        <v>#REF!</v>
      </c>
    </row>
    <row r="180">
      <c r="A180" s="2" t="s">
        <v>41</v>
      </c>
      <c r="B180" s="4" t="s">
        <v>9</v>
      </c>
      <c r="C180" s="4" t="s">
        <v>92</v>
      </c>
      <c r="D180" s="4">
        <v>3.0</v>
      </c>
      <c r="E180" s="4">
        <v>-83333.3333333333</v>
      </c>
      <c r="F180" s="95"/>
      <c r="G180" s="95"/>
    </row>
    <row r="181">
      <c r="A181" s="2" t="s">
        <v>52</v>
      </c>
      <c r="B181" s="4" t="s">
        <v>9</v>
      </c>
      <c r="C181" s="4" t="s">
        <v>92</v>
      </c>
      <c r="D181" s="4">
        <v>3.0</v>
      </c>
      <c r="E181" s="4">
        <v>-33333.3333333333</v>
      </c>
      <c r="F181" s="95"/>
      <c r="G181" s="95"/>
    </row>
    <row r="182">
      <c r="A182" s="2" t="s">
        <v>57</v>
      </c>
      <c r="B182" s="4" t="s">
        <v>9</v>
      </c>
      <c r="C182" s="4" t="s">
        <v>92</v>
      </c>
      <c r="D182" s="4">
        <v>3.0</v>
      </c>
      <c r="E182" s="83">
        <v>-320000.0</v>
      </c>
      <c r="F182" s="95"/>
      <c r="G182" s="95"/>
    </row>
    <row r="183">
      <c r="A183" s="8" t="s">
        <v>7</v>
      </c>
      <c r="B183" s="12" t="s">
        <v>9</v>
      </c>
      <c r="C183" s="12" t="s">
        <v>93</v>
      </c>
      <c r="D183" s="12">
        <v>3.0</v>
      </c>
      <c r="E183" s="12" t="str">
        <f>#REF!</f>
        <v>#REF!</v>
      </c>
      <c r="F183" s="20"/>
      <c r="G183" s="20"/>
    </row>
    <row r="184">
      <c r="A184" s="8" t="s">
        <v>32</v>
      </c>
      <c r="B184" s="12" t="s">
        <v>9</v>
      </c>
      <c r="C184" s="12" t="s">
        <v>93</v>
      </c>
      <c r="D184" s="12">
        <v>3.0</v>
      </c>
      <c r="E184" s="20">
        <v>36600.0</v>
      </c>
      <c r="F184" s="20"/>
      <c r="G184" s="20"/>
    </row>
    <row r="185">
      <c r="A185" s="8" t="s">
        <v>37</v>
      </c>
      <c r="B185" s="12" t="s">
        <v>9</v>
      </c>
      <c r="C185" s="12" t="s">
        <v>93</v>
      </c>
      <c r="D185" s="12">
        <v>3.0</v>
      </c>
      <c r="E185" s="20">
        <v>208333.33333333334</v>
      </c>
      <c r="F185" s="20"/>
      <c r="G185" s="20"/>
    </row>
    <row r="186">
      <c r="A186" s="8" t="s">
        <v>38</v>
      </c>
      <c r="B186" s="12" t="s">
        <v>9</v>
      </c>
      <c r="C186" s="12" t="s">
        <v>93</v>
      </c>
      <c r="D186" s="12">
        <v>3.0</v>
      </c>
      <c r="E186" s="20">
        <v>291666.6666666667</v>
      </c>
      <c r="F186" s="20"/>
      <c r="G186" s="20"/>
    </row>
    <row r="187">
      <c r="A187" s="8" t="s">
        <v>39</v>
      </c>
      <c r="B187" s="12" t="s">
        <v>9</v>
      </c>
      <c r="C187" s="12" t="s">
        <v>93</v>
      </c>
      <c r="D187" s="12">
        <v>3.0</v>
      </c>
      <c r="E187" s="20">
        <v>250000.0</v>
      </c>
      <c r="F187" s="20"/>
      <c r="G187" s="20"/>
    </row>
    <row r="188">
      <c r="A188" s="8" t="s">
        <v>40</v>
      </c>
      <c r="B188" s="12" t="s">
        <v>27</v>
      </c>
      <c r="C188" s="12" t="s">
        <v>93</v>
      </c>
      <c r="D188" s="12">
        <v>3.0</v>
      </c>
      <c r="E188" s="12" t="str">
        <f>J188*0.35*(-1)</f>
        <v>#REF!</v>
      </c>
      <c r="F188" s="20"/>
      <c r="G188" s="20"/>
      <c r="J188" s="23" t="str">
        <f>E183+E210</f>
        <v>#REF!</v>
      </c>
    </row>
    <row r="189">
      <c r="A189" s="8" t="s">
        <v>41</v>
      </c>
      <c r="B189" s="12" t="s">
        <v>9</v>
      </c>
      <c r="C189" s="12" t="s">
        <v>93</v>
      </c>
      <c r="D189" s="12">
        <v>3.0</v>
      </c>
      <c r="E189" s="12">
        <v>-83333.3333333333</v>
      </c>
      <c r="F189" s="20"/>
      <c r="G189" s="20"/>
    </row>
    <row r="190">
      <c r="A190" s="8" t="s">
        <v>52</v>
      </c>
      <c r="B190" s="12" t="s">
        <v>9</v>
      </c>
      <c r="C190" s="12" t="s">
        <v>93</v>
      </c>
      <c r="D190" s="12">
        <v>3.0</v>
      </c>
      <c r="E190" s="12">
        <v>-33333.3333333333</v>
      </c>
      <c r="F190" s="20"/>
      <c r="G190" s="20"/>
    </row>
    <row r="191">
      <c r="A191" s="8" t="s">
        <v>57</v>
      </c>
      <c r="B191" s="12" t="s">
        <v>9</v>
      </c>
      <c r="C191" s="12" t="s">
        <v>93</v>
      </c>
      <c r="D191" s="12">
        <v>3.0</v>
      </c>
      <c r="E191" s="12">
        <v>-320000.0</v>
      </c>
      <c r="F191" s="20"/>
      <c r="G191" s="20"/>
    </row>
    <row r="192">
      <c r="A192" s="2" t="s">
        <v>7</v>
      </c>
      <c r="B192" s="4" t="s">
        <v>9</v>
      </c>
      <c r="C192" s="4" t="s">
        <v>94</v>
      </c>
      <c r="D192" s="4">
        <v>4.0</v>
      </c>
      <c r="E192" s="83" t="str">
        <f>#REF!</f>
        <v>#REF!</v>
      </c>
      <c r="F192" s="95"/>
      <c r="G192" s="95"/>
    </row>
    <row r="193">
      <c r="A193" s="2" t="s">
        <v>32</v>
      </c>
      <c r="B193" s="4" t="s">
        <v>9</v>
      </c>
      <c r="C193" s="4" t="s">
        <v>94</v>
      </c>
      <c r="D193" s="4">
        <v>4.0</v>
      </c>
      <c r="E193" s="86">
        <v>36600.0</v>
      </c>
      <c r="F193" s="95"/>
      <c r="G193" s="95"/>
    </row>
    <row r="194">
      <c r="A194" s="2" t="s">
        <v>37</v>
      </c>
      <c r="B194" s="4" t="s">
        <v>9</v>
      </c>
      <c r="C194" s="4" t="s">
        <v>94</v>
      </c>
      <c r="D194" s="4">
        <v>4.0</v>
      </c>
      <c r="E194" s="86" t="str">
        <f t="shared" ref="E194:E195" si="2">#REF!/12</f>
        <v>#REF!</v>
      </c>
      <c r="F194" s="95"/>
      <c r="G194" s="95"/>
    </row>
    <row r="195">
      <c r="A195" s="2" t="s">
        <v>38</v>
      </c>
      <c r="B195" s="4" t="s">
        <v>9</v>
      </c>
      <c r="C195" s="4" t="s">
        <v>94</v>
      </c>
      <c r="D195" s="4">
        <v>4.0</v>
      </c>
      <c r="E195" s="86" t="str">
        <f t="shared" si="2"/>
        <v>#REF!</v>
      </c>
      <c r="F195" s="95"/>
      <c r="G195" s="95"/>
    </row>
    <row r="196">
      <c r="A196" s="2" t="s">
        <v>39</v>
      </c>
      <c r="B196" s="4" t="s">
        <v>9</v>
      </c>
      <c r="C196" s="4" t="s">
        <v>94</v>
      </c>
      <c r="D196" s="4">
        <v>4.0</v>
      </c>
      <c r="E196" s="86">
        <v>250000.0</v>
      </c>
      <c r="F196" s="95"/>
      <c r="G196" s="95"/>
    </row>
    <row r="197">
      <c r="A197" s="2" t="s">
        <v>40</v>
      </c>
      <c r="B197" s="4" t="s">
        <v>27</v>
      </c>
      <c r="C197" s="4" t="s">
        <v>94</v>
      </c>
      <c r="D197" s="4">
        <v>4.0</v>
      </c>
      <c r="E197" s="12" t="str">
        <f>J197*0.35*(-1)</f>
        <v>#REF!</v>
      </c>
      <c r="F197" s="95"/>
      <c r="G197" s="95"/>
      <c r="J197" s="23" t="str">
        <f>E192+E219</f>
        <v>#REF!</v>
      </c>
    </row>
    <row r="198">
      <c r="A198" s="2" t="s">
        <v>41</v>
      </c>
      <c r="B198" s="4" t="s">
        <v>9</v>
      </c>
      <c r="C198" s="4" t="s">
        <v>94</v>
      </c>
      <c r="D198" s="4">
        <v>4.0</v>
      </c>
      <c r="E198" s="83">
        <v>-83333.3333333333</v>
      </c>
      <c r="F198" s="95"/>
      <c r="G198" s="95"/>
    </row>
    <row r="199">
      <c r="A199" s="2" t="s">
        <v>52</v>
      </c>
      <c r="B199" s="4" t="s">
        <v>9</v>
      </c>
      <c r="C199" s="4" t="s">
        <v>94</v>
      </c>
      <c r="D199" s="4">
        <v>4.0</v>
      </c>
      <c r="E199" s="83">
        <v>-33333.3333333333</v>
      </c>
      <c r="F199" s="95"/>
      <c r="G199" s="95"/>
    </row>
    <row r="200">
      <c r="A200" s="2" t="s">
        <v>57</v>
      </c>
      <c r="B200" s="4" t="s">
        <v>9</v>
      </c>
      <c r="C200" s="4" t="s">
        <v>94</v>
      </c>
      <c r="D200" s="4">
        <v>4.0</v>
      </c>
      <c r="E200" s="83">
        <v>-320000.0</v>
      </c>
      <c r="F200" s="95"/>
      <c r="G200" s="95"/>
    </row>
    <row r="201">
      <c r="A201" s="8" t="s">
        <v>7</v>
      </c>
      <c r="B201" s="12" t="s">
        <v>9</v>
      </c>
      <c r="C201" s="12" t="s">
        <v>95</v>
      </c>
      <c r="D201" s="12">
        <v>4.0</v>
      </c>
      <c r="E201" s="12" t="str">
        <f>#REF!</f>
        <v>#REF!</v>
      </c>
      <c r="F201" s="20"/>
      <c r="G201" s="20"/>
    </row>
    <row r="202">
      <c r="A202" s="8" t="s">
        <v>32</v>
      </c>
      <c r="B202" s="12" t="s">
        <v>9</v>
      </c>
      <c r="C202" s="12" t="s">
        <v>95</v>
      </c>
      <c r="D202" s="12">
        <v>4.0</v>
      </c>
      <c r="E202" s="20">
        <f>36600+6100</f>
        <v>42700</v>
      </c>
      <c r="F202" s="20"/>
      <c r="G202" s="20"/>
    </row>
    <row r="203">
      <c r="A203" s="8" t="s">
        <v>37</v>
      </c>
      <c r="B203" s="12" t="s">
        <v>9</v>
      </c>
      <c r="C203" s="12" t="s">
        <v>95</v>
      </c>
      <c r="D203" s="12">
        <v>4.0</v>
      </c>
      <c r="E203" s="20" t="str">
        <f t="shared" ref="E203:E204" si="3">#REF!/12</f>
        <v>#REF!</v>
      </c>
      <c r="F203" s="20"/>
      <c r="G203" s="20"/>
    </row>
    <row r="204">
      <c r="A204" s="8" t="s">
        <v>38</v>
      </c>
      <c r="B204" s="12" t="s">
        <v>9</v>
      </c>
      <c r="C204" s="12" t="s">
        <v>95</v>
      </c>
      <c r="D204" s="12">
        <v>4.0</v>
      </c>
      <c r="E204" s="20" t="str">
        <f t="shared" si="3"/>
        <v>#REF!</v>
      </c>
      <c r="F204" s="20"/>
      <c r="G204" s="20"/>
    </row>
    <row r="205">
      <c r="A205" s="8" t="s">
        <v>39</v>
      </c>
      <c r="B205" s="12" t="s">
        <v>9</v>
      </c>
      <c r="C205" s="12" t="s">
        <v>95</v>
      </c>
      <c r="D205" s="12">
        <v>4.0</v>
      </c>
      <c r="E205" s="20">
        <v>250000.0</v>
      </c>
      <c r="F205" s="20"/>
      <c r="G205" s="20"/>
    </row>
    <row r="206">
      <c r="A206" s="8" t="s">
        <v>40</v>
      </c>
      <c r="B206" s="12" t="s">
        <v>27</v>
      </c>
      <c r="C206" s="12" t="s">
        <v>95</v>
      </c>
      <c r="D206" s="12">
        <v>4.0</v>
      </c>
      <c r="E206" s="12" t="str">
        <f>J206*0.35*(-1)</f>
        <v>#REF!</v>
      </c>
      <c r="F206" s="20"/>
      <c r="G206" s="20"/>
      <c r="J206" s="23" t="str">
        <f>E201+E228</f>
        <v>#REF!</v>
      </c>
    </row>
    <row r="207">
      <c r="A207" s="8" t="s">
        <v>41</v>
      </c>
      <c r="B207" s="12" t="s">
        <v>9</v>
      </c>
      <c r="C207" s="12" t="s">
        <v>95</v>
      </c>
      <c r="D207" s="12">
        <v>4.0</v>
      </c>
      <c r="E207" s="12">
        <v>-83333.3333333333</v>
      </c>
      <c r="F207" s="20"/>
      <c r="G207" s="20"/>
    </row>
    <row r="208">
      <c r="A208" s="8" t="s">
        <v>52</v>
      </c>
      <c r="B208" s="12" t="s">
        <v>9</v>
      </c>
      <c r="C208" s="12" t="s">
        <v>95</v>
      </c>
      <c r="D208" s="12">
        <v>4.0</v>
      </c>
      <c r="E208" s="12">
        <v>-33333.3333333333</v>
      </c>
      <c r="F208" s="20"/>
      <c r="G208" s="20"/>
    </row>
    <row r="209">
      <c r="A209" s="8" t="s">
        <v>57</v>
      </c>
      <c r="B209" s="12" t="s">
        <v>9</v>
      </c>
      <c r="C209" s="12" t="s">
        <v>95</v>
      </c>
      <c r="D209" s="12">
        <v>4.0</v>
      </c>
      <c r="E209" s="12">
        <v>-320000.0</v>
      </c>
      <c r="F209" s="20"/>
      <c r="G209" s="20"/>
    </row>
    <row r="210">
      <c r="A210" s="82" t="s">
        <v>7</v>
      </c>
      <c r="B210" s="4" t="s">
        <v>9</v>
      </c>
      <c r="C210" s="4" t="s">
        <v>96</v>
      </c>
      <c r="D210" s="4">
        <v>4.0</v>
      </c>
      <c r="E210" s="83" t="str">
        <f>#REF!</f>
        <v>#REF!</v>
      </c>
      <c r="F210" s="95"/>
      <c r="G210" s="95"/>
    </row>
    <row r="211">
      <c r="A211" s="2" t="s">
        <v>32</v>
      </c>
      <c r="B211" s="4" t="s">
        <v>9</v>
      </c>
      <c r="C211" s="4" t="s">
        <v>96</v>
      </c>
      <c r="D211" s="4">
        <v>4.0</v>
      </c>
      <c r="E211" s="86">
        <f>36600+6100</f>
        <v>42700</v>
      </c>
      <c r="F211" s="95"/>
      <c r="G211" s="95"/>
    </row>
    <row r="212">
      <c r="A212" s="2" t="s">
        <v>37</v>
      </c>
      <c r="B212" s="4" t="s">
        <v>9</v>
      </c>
      <c r="C212" s="4" t="s">
        <v>96</v>
      </c>
      <c r="D212" s="4">
        <v>4.0</v>
      </c>
      <c r="E212" s="86" t="str">
        <f t="shared" ref="E212:E213" si="4">#REF!/12</f>
        <v>#REF!</v>
      </c>
      <c r="F212" s="95"/>
      <c r="G212" s="95"/>
    </row>
    <row r="213">
      <c r="A213" s="82" t="s">
        <v>38</v>
      </c>
      <c r="B213" s="4" t="s">
        <v>9</v>
      </c>
      <c r="C213" s="4" t="s">
        <v>96</v>
      </c>
      <c r="D213" s="4">
        <v>4.0</v>
      </c>
      <c r="E213" s="86" t="str">
        <f t="shared" si="4"/>
        <v>#REF!</v>
      </c>
      <c r="F213" s="95"/>
      <c r="G213" s="95"/>
    </row>
    <row r="214">
      <c r="A214" s="82" t="s">
        <v>39</v>
      </c>
      <c r="B214" s="4" t="s">
        <v>9</v>
      </c>
      <c r="C214" s="4" t="s">
        <v>96</v>
      </c>
      <c r="D214" s="4">
        <v>4.0</v>
      </c>
      <c r="E214" s="86">
        <v>250000.0</v>
      </c>
      <c r="F214" s="95"/>
      <c r="G214" s="95"/>
    </row>
    <row r="215">
      <c r="A215" s="82" t="s">
        <v>40</v>
      </c>
      <c r="B215" s="4" t="s">
        <v>27</v>
      </c>
      <c r="C215" s="4" t="s">
        <v>96</v>
      </c>
      <c r="D215" s="4">
        <v>4.0</v>
      </c>
      <c r="E215" s="12" t="str">
        <f>J215*0.35*(-1)</f>
        <v>#REF!</v>
      </c>
      <c r="F215" s="95"/>
      <c r="G215" s="95"/>
      <c r="J215" s="23" t="str">
        <f>E210+E237</f>
        <v>#REF!</v>
      </c>
    </row>
    <row r="216">
      <c r="A216" s="82" t="s">
        <v>41</v>
      </c>
      <c r="B216" s="4" t="s">
        <v>9</v>
      </c>
      <c r="C216" s="4" t="s">
        <v>96</v>
      </c>
      <c r="D216" s="4">
        <v>4.0</v>
      </c>
      <c r="E216" s="83">
        <v>-83333.3333333333</v>
      </c>
      <c r="F216" s="95"/>
      <c r="G216" s="95"/>
    </row>
    <row r="217">
      <c r="A217" s="2" t="s">
        <v>52</v>
      </c>
      <c r="B217" s="4" t="s">
        <v>9</v>
      </c>
      <c r="C217" s="4" t="s">
        <v>96</v>
      </c>
      <c r="D217" s="4">
        <v>4.0</v>
      </c>
      <c r="E217" s="83">
        <v>-33333.3333333333</v>
      </c>
      <c r="F217" s="95"/>
      <c r="G217" s="95"/>
    </row>
    <row r="218">
      <c r="A218" s="2" t="s">
        <v>57</v>
      </c>
      <c r="B218" s="4" t="s">
        <v>9</v>
      </c>
      <c r="C218" s="4" t="s">
        <v>96</v>
      </c>
      <c r="D218" s="4">
        <v>4.0</v>
      </c>
      <c r="E218" s="83">
        <v>-320000.0</v>
      </c>
      <c r="F218" s="95"/>
      <c r="G218" s="95"/>
    </row>
    <row r="219">
      <c r="A219" s="2">
        <v>0.0</v>
      </c>
      <c r="B219" s="4" t="s">
        <v>0</v>
      </c>
      <c r="C219" s="4" t="s">
        <v>2</v>
      </c>
      <c r="D219" s="4" t="s">
        <v>3</v>
      </c>
      <c r="E219" s="4" t="s">
        <v>4</v>
      </c>
      <c r="F219" s="4" t="s">
        <v>5</v>
      </c>
      <c r="G219" s="4" t="s">
        <v>6</v>
      </c>
    </row>
    <row r="220">
      <c r="A220" s="8" t="s">
        <v>7</v>
      </c>
      <c r="B220" s="12" t="s">
        <v>9</v>
      </c>
      <c r="C220" s="12" t="s">
        <v>10</v>
      </c>
      <c r="D220" s="12">
        <v>1.0</v>
      </c>
      <c r="E220" s="20" t="str">
        <f>'Макшанова'!H258</f>
        <v/>
      </c>
      <c r="F220" s="20"/>
      <c r="G220" s="20"/>
    </row>
    <row r="221">
      <c r="A221" s="8" t="s">
        <v>32</v>
      </c>
      <c r="B221" s="12" t="s">
        <v>9</v>
      </c>
      <c r="C221" s="12" t="s">
        <v>10</v>
      </c>
      <c r="D221" s="12">
        <v>1.0</v>
      </c>
      <c r="E221" s="20">
        <f>6100*4</f>
        <v>24400</v>
      </c>
      <c r="F221" s="20"/>
      <c r="G221" s="20"/>
    </row>
    <row r="222">
      <c r="A222" s="8" t="s">
        <v>37</v>
      </c>
      <c r="B222" s="12" t="s">
        <v>9</v>
      </c>
      <c r="C222" s="12" t="s">
        <v>10</v>
      </c>
      <c r="D222" s="12">
        <v>1.0</v>
      </c>
      <c r="E222" s="12">
        <f>'Бюджет 2026'!S226/12</f>
        <v>0</v>
      </c>
      <c r="F222" s="20"/>
      <c r="G222" s="20"/>
    </row>
    <row r="223">
      <c r="A223" s="8" t="s">
        <v>38</v>
      </c>
      <c r="B223" s="12" t="s">
        <v>9</v>
      </c>
      <c r="C223" s="12" t="s">
        <v>10</v>
      </c>
      <c r="D223" s="12">
        <v>1.0</v>
      </c>
      <c r="E223" s="20">
        <f>'Бюджет 2026'!S227/12</f>
        <v>0</v>
      </c>
      <c r="F223" s="20"/>
      <c r="G223" s="20"/>
    </row>
    <row r="224">
      <c r="A224" s="8" t="s">
        <v>39</v>
      </c>
      <c r="B224" s="12" t="s">
        <v>9</v>
      </c>
      <c r="C224" s="12" t="s">
        <v>10</v>
      </c>
      <c r="D224" s="12">
        <v>1.0</v>
      </c>
      <c r="E224" s="20">
        <f>59000*2</f>
        <v>118000</v>
      </c>
      <c r="F224" s="20"/>
      <c r="G224" s="20"/>
    </row>
    <row r="225">
      <c r="A225" s="8" t="s">
        <v>40</v>
      </c>
      <c r="B225" s="12" t="s">
        <v>27</v>
      </c>
      <c r="C225" s="12" t="s">
        <v>10</v>
      </c>
      <c r="D225" s="12">
        <v>1.0</v>
      </c>
      <c r="E225" s="12">
        <f>J225*0.35*(-1)</f>
        <v>0</v>
      </c>
      <c r="F225" s="20"/>
      <c r="G225" s="20"/>
      <c r="J225" s="23">
        <f>E220+E247</f>
        <v>0</v>
      </c>
    </row>
    <row r="226">
      <c r="A226" s="8" t="s">
        <v>41</v>
      </c>
      <c r="B226" s="12" t="s">
        <v>9</v>
      </c>
      <c r="C226" s="12" t="s">
        <v>10</v>
      </c>
      <c r="D226" s="12">
        <v>1.0</v>
      </c>
      <c r="E226" s="20"/>
      <c r="F226" s="20"/>
      <c r="G226" s="20"/>
    </row>
    <row r="227">
      <c r="A227" s="8" t="s">
        <v>52</v>
      </c>
      <c r="B227" s="12" t="s">
        <v>9</v>
      </c>
      <c r="C227" s="12" t="s">
        <v>10</v>
      </c>
      <c r="D227" s="12">
        <v>1.0</v>
      </c>
      <c r="E227" s="12">
        <v>-20000.0</v>
      </c>
      <c r="F227" s="20"/>
      <c r="G227" s="20"/>
    </row>
    <row r="228">
      <c r="A228" s="8" t="s">
        <v>57</v>
      </c>
      <c r="B228" s="12" t="s">
        <v>9</v>
      </c>
      <c r="C228" s="12" t="s">
        <v>10</v>
      </c>
      <c r="D228" s="12">
        <v>1.0</v>
      </c>
      <c r="E228" s="12">
        <v>-320000.0</v>
      </c>
      <c r="F228" s="20"/>
      <c r="G228" s="20"/>
    </row>
    <row r="229">
      <c r="A229" s="2" t="s">
        <v>7</v>
      </c>
      <c r="B229" s="4" t="s">
        <v>9</v>
      </c>
      <c r="C229" s="4" t="s">
        <v>76</v>
      </c>
      <c r="D229" s="4">
        <v>1.0</v>
      </c>
      <c r="E229" s="4" t="str">
        <f>'Макшанова'!L239</f>
        <v/>
      </c>
      <c r="F229" s="95"/>
      <c r="G229" s="95"/>
    </row>
    <row r="230">
      <c r="A230" s="2" t="s">
        <v>32</v>
      </c>
      <c r="B230" s="4" t="s">
        <v>9</v>
      </c>
      <c r="C230" s="4" t="s">
        <v>76</v>
      </c>
      <c r="D230" s="4">
        <v>1.0</v>
      </c>
      <c r="E230" s="4">
        <v>30500.0</v>
      </c>
      <c r="F230" s="95"/>
      <c r="G230" s="95"/>
    </row>
    <row r="231">
      <c r="A231" s="2" t="s">
        <v>37</v>
      </c>
      <c r="B231" s="4" t="s">
        <v>9</v>
      </c>
      <c r="C231" s="4" t="s">
        <v>76</v>
      </c>
      <c r="D231" s="4">
        <v>1.0</v>
      </c>
      <c r="E231" s="95">
        <f>'Бюджет 2026'!S207/12</f>
        <v>0</v>
      </c>
      <c r="F231" s="95"/>
      <c r="G231" s="95"/>
    </row>
    <row r="232">
      <c r="A232" s="2" t="s">
        <v>38</v>
      </c>
      <c r="B232" s="4" t="s">
        <v>9</v>
      </c>
      <c r="C232" s="4" t="s">
        <v>76</v>
      </c>
      <c r="D232" s="4">
        <v>1.0</v>
      </c>
      <c r="E232" s="95">
        <f>'Бюджет 2026'!S208/12</f>
        <v>0</v>
      </c>
      <c r="F232" s="95"/>
      <c r="G232" s="95"/>
    </row>
    <row r="233">
      <c r="A233" s="2" t="s">
        <v>39</v>
      </c>
      <c r="B233" s="4" t="s">
        <v>9</v>
      </c>
      <c r="C233" s="4" t="s">
        <v>76</v>
      </c>
      <c r="D233" s="4">
        <v>1.0</v>
      </c>
      <c r="E233" s="95">
        <f>59000*3</f>
        <v>177000</v>
      </c>
      <c r="F233" s="95"/>
      <c r="G233" s="95"/>
    </row>
    <row r="234">
      <c r="A234" s="2" t="s">
        <v>40</v>
      </c>
      <c r="B234" s="4" t="s">
        <v>27</v>
      </c>
      <c r="C234" s="4" t="s">
        <v>76</v>
      </c>
      <c r="D234" s="4">
        <v>1.0</v>
      </c>
      <c r="E234" s="12">
        <f>J234*0.35*(-1)</f>
        <v>0</v>
      </c>
      <c r="F234" s="95"/>
      <c r="G234" s="95"/>
      <c r="J234" s="23">
        <f>E229+E256</f>
        <v>0</v>
      </c>
    </row>
    <row r="235">
      <c r="A235" s="2" t="s">
        <v>41</v>
      </c>
      <c r="B235" s="4" t="s">
        <v>9</v>
      </c>
      <c r="C235" s="4" t="s">
        <v>76</v>
      </c>
      <c r="D235" s="4">
        <v>1.0</v>
      </c>
      <c r="E235" s="4">
        <v>-113636.363636364</v>
      </c>
      <c r="F235" s="95"/>
      <c r="G235" s="95"/>
    </row>
    <row r="236">
      <c r="A236" s="2" t="s">
        <v>52</v>
      </c>
      <c r="B236" s="4" t="s">
        <v>9</v>
      </c>
      <c r="C236" s="4" t="s">
        <v>76</v>
      </c>
      <c r="D236" s="4">
        <v>1.0</v>
      </c>
      <c r="E236" s="83">
        <v>-33333.3333333333</v>
      </c>
      <c r="F236" s="95"/>
      <c r="G236" s="95"/>
    </row>
    <row r="237">
      <c r="A237" s="2" t="s">
        <v>57</v>
      </c>
      <c r="B237" s="4" t="s">
        <v>9</v>
      </c>
      <c r="C237" s="4" t="s">
        <v>76</v>
      </c>
      <c r="D237" s="4">
        <v>1.0</v>
      </c>
      <c r="E237" s="83">
        <v>-320000.0</v>
      </c>
      <c r="F237" s="95"/>
      <c r="G237" s="95"/>
    </row>
    <row r="238">
      <c r="A238" s="8" t="s">
        <v>7</v>
      </c>
      <c r="B238" s="12" t="s">
        <v>9</v>
      </c>
      <c r="C238" s="12" t="s">
        <v>88</v>
      </c>
      <c r="D238" s="12">
        <v>1.0</v>
      </c>
      <c r="E238" s="20" t="str">
        <f>'Макшанова'!O220</f>
        <v/>
      </c>
      <c r="F238" s="20"/>
      <c r="G238" s="20"/>
    </row>
    <row r="239">
      <c r="A239" s="8" t="s">
        <v>32</v>
      </c>
      <c r="B239" s="12" t="s">
        <v>9</v>
      </c>
      <c r="C239" s="12" t="s">
        <v>88</v>
      </c>
      <c r="D239" s="12">
        <v>1.0</v>
      </c>
      <c r="E239" s="12">
        <f>30500+6100</f>
        <v>36600</v>
      </c>
      <c r="F239" s="20"/>
      <c r="G239" s="20"/>
    </row>
    <row r="240">
      <c r="A240" s="8" t="s">
        <v>37</v>
      </c>
      <c r="B240" s="12" t="s">
        <v>9</v>
      </c>
      <c r="C240" s="12" t="s">
        <v>88</v>
      </c>
      <c r="D240" s="12">
        <v>1.0</v>
      </c>
      <c r="E240" s="20">
        <f>'Бюджет 2026'!S188/12</f>
        <v>0</v>
      </c>
      <c r="F240" s="20"/>
      <c r="G240" s="20"/>
    </row>
    <row r="241">
      <c r="A241" s="8" t="s">
        <v>38</v>
      </c>
      <c r="B241" s="12" t="s">
        <v>9</v>
      </c>
      <c r="C241" s="12" t="s">
        <v>88</v>
      </c>
      <c r="D241" s="12">
        <v>1.0</v>
      </c>
      <c r="E241" s="20">
        <f>'Бюджет 2026'!S189/12</f>
        <v>0</v>
      </c>
      <c r="F241" s="20"/>
      <c r="G241" s="20"/>
    </row>
    <row r="242">
      <c r="A242" s="8" t="s">
        <v>39</v>
      </c>
      <c r="B242" s="12" t="s">
        <v>9</v>
      </c>
      <c r="C242" s="12" t="s">
        <v>88</v>
      </c>
      <c r="D242" s="12">
        <v>1.0</v>
      </c>
      <c r="E242" s="20">
        <f>'Бюджет 2026'!S190/12</f>
        <v>0</v>
      </c>
      <c r="F242" s="20"/>
      <c r="G242" s="20"/>
    </row>
    <row r="243">
      <c r="A243" s="8" t="s">
        <v>40</v>
      </c>
      <c r="B243" s="12" t="s">
        <v>27</v>
      </c>
      <c r="C243" s="12" t="s">
        <v>88</v>
      </c>
      <c r="D243" s="12">
        <v>1.0</v>
      </c>
      <c r="E243" s="12">
        <f>J243*0.35*(-1)</f>
        <v>0</v>
      </c>
      <c r="F243" s="20"/>
      <c r="G243" s="20"/>
      <c r="J243" s="23">
        <f>E238+E265</f>
        <v>0</v>
      </c>
    </row>
    <row r="244">
      <c r="A244" s="8" t="s">
        <v>41</v>
      </c>
      <c r="B244" s="12" t="s">
        <v>9</v>
      </c>
      <c r="C244" s="12" t="s">
        <v>88</v>
      </c>
      <c r="D244" s="12">
        <v>1.0</v>
      </c>
      <c r="E244" s="12">
        <v>-227272.727272727</v>
      </c>
      <c r="F244" s="20"/>
      <c r="G244" s="20"/>
    </row>
    <row r="245">
      <c r="A245" s="8" t="s">
        <v>52</v>
      </c>
      <c r="B245" s="12" t="s">
        <v>9</v>
      </c>
      <c r="C245" s="12" t="s">
        <v>88</v>
      </c>
      <c r="D245" s="12">
        <v>1.0</v>
      </c>
      <c r="E245" s="12">
        <v>-33333.3333333333</v>
      </c>
      <c r="F245" s="20"/>
      <c r="G245" s="20"/>
    </row>
    <row r="246">
      <c r="A246" s="8" t="s">
        <v>57</v>
      </c>
      <c r="B246" s="12" t="s">
        <v>9</v>
      </c>
      <c r="C246" s="12" t="s">
        <v>88</v>
      </c>
      <c r="D246" s="12">
        <v>1.0</v>
      </c>
      <c r="E246" s="12">
        <v>-320000.0</v>
      </c>
      <c r="F246" s="20"/>
      <c r="G246" s="20"/>
    </row>
    <row r="247">
      <c r="A247" s="2" t="s">
        <v>7</v>
      </c>
      <c r="B247" s="4" t="s">
        <v>9</v>
      </c>
      <c r="C247" s="4" t="s">
        <v>89</v>
      </c>
      <c r="D247" s="4">
        <v>2.0</v>
      </c>
      <c r="E247" s="86" t="str">
        <f>'Макшанова'!R201</f>
        <v/>
      </c>
      <c r="F247" s="95"/>
      <c r="G247" s="95"/>
    </row>
    <row r="248">
      <c r="A248" s="2" t="s">
        <v>32</v>
      </c>
      <c r="B248" s="4" t="s">
        <v>9</v>
      </c>
      <c r="C248" s="4" t="s">
        <v>89</v>
      </c>
      <c r="D248" s="4">
        <v>2.0</v>
      </c>
      <c r="E248" s="83">
        <f>30500+6100</f>
        <v>36600</v>
      </c>
      <c r="F248" s="95"/>
      <c r="G248" s="95"/>
    </row>
    <row r="249">
      <c r="A249" s="2" t="s">
        <v>37</v>
      </c>
      <c r="B249" s="4" t="s">
        <v>9</v>
      </c>
      <c r="C249" s="4" t="s">
        <v>89</v>
      </c>
      <c r="D249" s="4">
        <v>2.0</v>
      </c>
      <c r="E249" s="86">
        <f>'Бюджет 2026'!S169/12</f>
        <v>0</v>
      </c>
      <c r="F249" s="95"/>
      <c r="G249" s="95"/>
    </row>
    <row r="250">
      <c r="A250" s="2" t="s">
        <v>38</v>
      </c>
      <c r="B250" s="4" t="s">
        <v>9</v>
      </c>
      <c r="C250" s="4" t="s">
        <v>89</v>
      </c>
      <c r="D250" s="4">
        <v>2.0</v>
      </c>
      <c r="E250" s="86">
        <f>'Бюджет 2026'!S170/12</f>
        <v>0</v>
      </c>
      <c r="F250" s="95"/>
      <c r="G250" s="95"/>
    </row>
    <row r="251">
      <c r="A251" s="2" t="s">
        <v>39</v>
      </c>
      <c r="B251" s="4" t="s">
        <v>9</v>
      </c>
      <c r="C251" s="4" t="s">
        <v>89</v>
      </c>
      <c r="D251" s="4">
        <v>2.0</v>
      </c>
      <c r="E251" s="86">
        <f>'Бюджет 2026'!S198/12</f>
        <v>0</v>
      </c>
      <c r="F251" s="95"/>
      <c r="G251" s="95"/>
    </row>
    <row r="252">
      <c r="A252" s="2" t="s">
        <v>40</v>
      </c>
      <c r="B252" s="4" t="s">
        <v>27</v>
      </c>
      <c r="C252" s="4" t="s">
        <v>89</v>
      </c>
      <c r="D252" s="4">
        <v>2.0</v>
      </c>
      <c r="E252" s="12">
        <f>J252*0.35*(-1)</f>
        <v>0</v>
      </c>
      <c r="F252" s="95"/>
      <c r="G252" s="95"/>
      <c r="J252" s="23">
        <f>E247+E274</f>
        <v>0</v>
      </c>
    </row>
    <row r="253">
      <c r="A253" s="2" t="s">
        <v>41</v>
      </c>
      <c r="B253" s="4" t="s">
        <v>9</v>
      </c>
      <c r="C253" s="4" t="s">
        <v>89</v>
      </c>
      <c r="D253" s="4">
        <v>2.0</v>
      </c>
      <c r="E253" s="83">
        <v>-170181.818181818</v>
      </c>
      <c r="F253" s="95"/>
      <c r="G253" s="95"/>
    </row>
    <row r="254">
      <c r="A254" s="2" t="s">
        <v>52</v>
      </c>
      <c r="B254" s="4" t="s">
        <v>9</v>
      </c>
      <c r="C254" s="4" t="s">
        <v>89</v>
      </c>
      <c r="D254" s="4">
        <v>2.0</v>
      </c>
      <c r="E254" s="83">
        <v>-33333.3333333333</v>
      </c>
      <c r="F254" s="95"/>
      <c r="G254" s="95"/>
    </row>
    <row r="255">
      <c r="A255" s="2" t="s">
        <v>57</v>
      </c>
      <c r="B255" s="4" t="s">
        <v>9</v>
      </c>
      <c r="C255" s="4" t="s">
        <v>89</v>
      </c>
      <c r="D255" s="4">
        <v>2.0</v>
      </c>
      <c r="E255" s="83">
        <v>-320000.0</v>
      </c>
      <c r="F255" s="95"/>
      <c r="G255" s="95"/>
    </row>
    <row r="256">
      <c r="A256" s="8" t="s">
        <v>7</v>
      </c>
      <c r="B256" s="12" t="s">
        <v>9</v>
      </c>
      <c r="C256" s="12" t="s">
        <v>28</v>
      </c>
      <c r="D256" s="12">
        <v>2.0</v>
      </c>
      <c r="E256" s="20" t="str">
        <f>'Макшанова'!R182</f>
        <v/>
      </c>
      <c r="F256" s="20"/>
      <c r="G256" s="20"/>
    </row>
    <row r="257">
      <c r="A257" s="8" t="s">
        <v>32</v>
      </c>
      <c r="B257" s="12" t="s">
        <v>9</v>
      </c>
      <c r="C257" s="12" t="s">
        <v>28</v>
      </c>
      <c r="D257" s="12">
        <v>2.0</v>
      </c>
      <c r="E257" s="12">
        <v>36600.0</v>
      </c>
      <c r="F257" s="20"/>
      <c r="G257" s="20"/>
    </row>
    <row r="258">
      <c r="A258" s="8" t="s">
        <v>37</v>
      </c>
      <c r="B258" s="12" t="s">
        <v>9</v>
      </c>
      <c r="C258" s="12" t="s">
        <v>28</v>
      </c>
      <c r="D258" s="12">
        <v>2.0</v>
      </c>
      <c r="E258" s="20">
        <f>'Бюджет 2026'!S150/12</f>
        <v>0</v>
      </c>
      <c r="F258" s="20"/>
      <c r="G258" s="20"/>
    </row>
    <row r="259">
      <c r="A259" s="8" t="s">
        <v>38</v>
      </c>
      <c r="B259" s="12" t="s">
        <v>9</v>
      </c>
      <c r="C259" s="12" t="s">
        <v>28</v>
      </c>
      <c r="D259" s="12">
        <v>2.0</v>
      </c>
      <c r="E259" s="20">
        <f>'Бюджет 2026'!S151/12</f>
        <v>0</v>
      </c>
      <c r="F259" s="20"/>
      <c r="G259" s="20"/>
    </row>
    <row r="260">
      <c r="A260" s="8" t="s">
        <v>39</v>
      </c>
      <c r="B260" s="12" t="s">
        <v>9</v>
      </c>
      <c r="C260" s="12" t="s">
        <v>28</v>
      </c>
      <c r="D260" s="12">
        <v>2.0</v>
      </c>
      <c r="E260" s="20">
        <f>'Бюджет 2026'!S152/12</f>
        <v>0</v>
      </c>
      <c r="F260" s="20"/>
      <c r="G260" s="20"/>
    </row>
    <row r="261">
      <c r="A261" s="8" t="s">
        <v>40</v>
      </c>
      <c r="B261" s="12" t="s">
        <v>27</v>
      </c>
      <c r="C261" s="12" t="s">
        <v>28</v>
      </c>
      <c r="D261" s="12">
        <v>2.0</v>
      </c>
      <c r="E261" s="12">
        <f>J261*0.35*(-1)</f>
        <v>0</v>
      </c>
      <c r="F261" s="20"/>
      <c r="G261" s="20"/>
      <c r="J261" s="23">
        <f>E256+E283</f>
        <v>0</v>
      </c>
    </row>
    <row r="262">
      <c r="A262" s="8" t="s">
        <v>41</v>
      </c>
      <c r="B262" s="12" t="s">
        <v>9</v>
      </c>
      <c r="C262" s="12" t="s">
        <v>28</v>
      </c>
      <c r="D262" s="12">
        <v>2.0</v>
      </c>
      <c r="E262" s="12">
        <v>-104166.666666667</v>
      </c>
      <c r="F262" s="20"/>
      <c r="G262" s="20"/>
    </row>
    <row r="263">
      <c r="A263" s="8" t="s">
        <v>52</v>
      </c>
      <c r="B263" s="12" t="s">
        <v>9</v>
      </c>
      <c r="C263" s="12" t="s">
        <v>28</v>
      </c>
      <c r="D263" s="12">
        <v>2.0</v>
      </c>
      <c r="E263" s="12">
        <v>-33333.3333333333</v>
      </c>
      <c r="F263" s="20"/>
      <c r="G263" s="20"/>
    </row>
    <row r="264">
      <c r="A264" s="8" t="s">
        <v>57</v>
      </c>
      <c r="B264" s="12" t="s">
        <v>9</v>
      </c>
      <c r="C264" s="12" t="s">
        <v>28</v>
      </c>
      <c r="D264" s="12">
        <v>2.0</v>
      </c>
      <c r="E264" s="12">
        <v>-320000.0</v>
      </c>
      <c r="F264" s="20"/>
      <c r="G264" s="20"/>
    </row>
    <row r="265">
      <c r="A265" s="82" t="s">
        <v>7</v>
      </c>
      <c r="B265" s="83" t="s">
        <v>9</v>
      </c>
      <c r="C265" s="83" t="s">
        <v>90</v>
      </c>
      <c r="D265" s="83">
        <v>2.0</v>
      </c>
      <c r="E265" s="83" t="str">
        <f>'Макшанова'!X163</f>
        <v/>
      </c>
      <c r="F265" s="86"/>
      <c r="G265" s="86"/>
    </row>
    <row r="266">
      <c r="A266" s="82" t="s">
        <v>32</v>
      </c>
      <c r="B266" s="83" t="s">
        <v>9</v>
      </c>
      <c r="C266" s="83" t="s">
        <v>90</v>
      </c>
      <c r="D266" s="83">
        <v>2.0</v>
      </c>
      <c r="E266" s="86" t="str">
        <f>E210</f>
        <v>#REF!</v>
      </c>
      <c r="F266" s="86"/>
      <c r="G266" s="86"/>
    </row>
    <row r="267">
      <c r="A267" s="82" t="s">
        <v>37</v>
      </c>
      <c r="B267" s="83" t="s">
        <v>9</v>
      </c>
      <c r="C267" s="83" t="s">
        <v>90</v>
      </c>
      <c r="D267" s="83">
        <v>2.0</v>
      </c>
      <c r="E267" s="86">
        <v>208333.33333333334</v>
      </c>
      <c r="F267" s="86"/>
      <c r="G267" s="86"/>
    </row>
    <row r="268">
      <c r="A268" s="82" t="s">
        <v>38</v>
      </c>
      <c r="B268" s="83" t="s">
        <v>9</v>
      </c>
      <c r="C268" s="83" t="s">
        <v>90</v>
      </c>
      <c r="D268" s="83">
        <v>2.0</v>
      </c>
      <c r="E268" s="86">
        <v>291666.6666666667</v>
      </c>
      <c r="F268" s="86"/>
      <c r="G268" s="86"/>
    </row>
    <row r="269">
      <c r="A269" s="82" t="s">
        <v>39</v>
      </c>
      <c r="B269" s="83" t="s">
        <v>9</v>
      </c>
      <c r="C269" s="83" t="s">
        <v>90</v>
      </c>
      <c r="D269" s="83">
        <v>2.0</v>
      </c>
      <c r="E269" s="86">
        <f>E241</f>
        <v>0</v>
      </c>
      <c r="F269" s="86"/>
      <c r="G269" s="86"/>
    </row>
    <row r="270">
      <c r="A270" s="82" t="s">
        <v>40</v>
      </c>
      <c r="B270" s="83" t="s">
        <v>27</v>
      </c>
      <c r="C270" s="83" t="s">
        <v>90</v>
      </c>
      <c r="D270" s="83">
        <v>2.0</v>
      </c>
      <c r="E270" s="12">
        <f>J270*0.35*(-1)</f>
        <v>0</v>
      </c>
      <c r="F270" s="86"/>
      <c r="G270" s="86"/>
      <c r="J270" s="23">
        <f>E265+E292</f>
        <v>0</v>
      </c>
    </row>
    <row r="271">
      <c r="A271" s="82" t="s">
        <v>41</v>
      </c>
      <c r="B271" s="83" t="s">
        <v>9</v>
      </c>
      <c r="C271" s="83" t="s">
        <v>90</v>
      </c>
      <c r="D271" s="83">
        <v>2.0</v>
      </c>
      <c r="E271" s="83">
        <v>-83333.3333333333</v>
      </c>
      <c r="F271" s="86"/>
      <c r="G271" s="86"/>
    </row>
    <row r="272">
      <c r="A272" s="82" t="s">
        <v>52</v>
      </c>
      <c r="B272" s="83" t="s">
        <v>9</v>
      </c>
      <c r="C272" s="83" t="s">
        <v>90</v>
      </c>
      <c r="D272" s="83">
        <v>2.0</v>
      </c>
      <c r="E272" s="83">
        <v>-33333.3333333333</v>
      </c>
      <c r="F272" s="86"/>
      <c r="G272" s="86"/>
    </row>
    <row r="273">
      <c r="A273" s="82" t="s">
        <v>57</v>
      </c>
      <c r="B273" s="83" t="s">
        <v>9</v>
      </c>
      <c r="C273" s="83" t="s">
        <v>90</v>
      </c>
      <c r="D273" s="83">
        <v>2.0</v>
      </c>
      <c r="E273" s="83">
        <v>-320000.0</v>
      </c>
      <c r="F273" s="86"/>
      <c r="G273" s="86"/>
    </row>
    <row r="274">
      <c r="A274" s="8" t="s">
        <v>7</v>
      </c>
      <c r="B274" s="12" t="s">
        <v>9</v>
      </c>
      <c r="C274" s="12" t="s">
        <v>91</v>
      </c>
      <c r="D274" s="12">
        <v>3.0</v>
      </c>
      <c r="E274" s="12" t="str">
        <f>'Макшанова'!AA144</f>
        <v/>
      </c>
      <c r="F274" s="20"/>
      <c r="G274" s="20"/>
    </row>
    <row r="275">
      <c r="A275" s="8" t="s">
        <v>32</v>
      </c>
      <c r="B275" s="12" t="s">
        <v>9</v>
      </c>
      <c r="C275" s="12" t="s">
        <v>91</v>
      </c>
      <c r="D275" s="12">
        <v>3.0</v>
      </c>
      <c r="E275" s="20">
        <f>36600+3500</f>
        <v>40100</v>
      </c>
      <c r="F275" s="20"/>
      <c r="G275" s="20"/>
    </row>
    <row r="276">
      <c r="A276" s="8" t="s">
        <v>37</v>
      </c>
      <c r="B276" s="12" t="s">
        <v>9</v>
      </c>
      <c r="C276" s="12" t="s">
        <v>91</v>
      </c>
      <c r="D276" s="12">
        <v>3.0</v>
      </c>
      <c r="E276" s="20">
        <f>'Бюджет 2026'!S112/12</f>
        <v>0</v>
      </c>
      <c r="F276" s="20"/>
      <c r="G276" s="20"/>
    </row>
    <row r="277">
      <c r="A277" s="8" t="s">
        <v>38</v>
      </c>
      <c r="B277" s="12" t="s">
        <v>9</v>
      </c>
      <c r="C277" s="12" t="s">
        <v>91</v>
      </c>
      <c r="D277" s="12">
        <v>3.0</v>
      </c>
      <c r="E277" s="20">
        <v>291666.6666666667</v>
      </c>
      <c r="F277" s="20"/>
      <c r="G277" s="20"/>
    </row>
    <row r="278">
      <c r="A278" s="8" t="s">
        <v>39</v>
      </c>
      <c r="B278" s="12" t="s">
        <v>9</v>
      </c>
      <c r="C278" s="12" t="s">
        <v>91</v>
      </c>
      <c r="D278" s="12">
        <v>3.0</v>
      </c>
      <c r="E278" s="20">
        <v>250000.0</v>
      </c>
      <c r="F278" s="20"/>
      <c r="G278" s="20"/>
    </row>
    <row r="279">
      <c r="A279" s="8" t="s">
        <v>40</v>
      </c>
      <c r="B279" s="12" t="s">
        <v>27</v>
      </c>
      <c r="C279" s="12" t="s">
        <v>91</v>
      </c>
      <c r="D279" s="12">
        <v>3.0</v>
      </c>
      <c r="E279" s="12">
        <f>J279*0.35*(-1)</f>
        <v>0</v>
      </c>
      <c r="F279" s="20"/>
      <c r="G279" s="20"/>
      <c r="J279" s="23">
        <f>E274+E301</f>
        <v>0</v>
      </c>
    </row>
    <row r="280">
      <c r="A280" s="8" t="s">
        <v>41</v>
      </c>
      <c r="B280" s="12" t="s">
        <v>9</v>
      </c>
      <c r="C280" s="12" t="s">
        <v>91</v>
      </c>
      <c r="D280" s="12">
        <v>3.0</v>
      </c>
      <c r="E280" s="12">
        <v>-83333.3333333333</v>
      </c>
      <c r="F280" s="20"/>
      <c r="G280" s="20"/>
    </row>
    <row r="281">
      <c r="A281" s="8" t="s">
        <v>52</v>
      </c>
      <c r="B281" s="12" t="s">
        <v>9</v>
      </c>
      <c r="C281" s="12" t="s">
        <v>91</v>
      </c>
      <c r="D281" s="12">
        <v>3.0</v>
      </c>
      <c r="E281" s="12">
        <v>-33333.3333333333</v>
      </c>
      <c r="F281" s="20"/>
      <c r="G281" s="20"/>
    </row>
    <row r="282">
      <c r="A282" s="8" t="s">
        <v>57</v>
      </c>
      <c r="B282" s="12" t="s">
        <v>9</v>
      </c>
      <c r="C282" s="12" t="s">
        <v>91</v>
      </c>
      <c r="D282" s="12">
        <v>3.0</v>
      </c>
      <c r="E282" s="12">
        <v>-320000.0</v>
      </c>
      <c r="F282" s="20"/>
      <c r="G282" s="20"/>
    </row>
    <row r="283">
      <c r="A283" s="2" t="s">
        <v>7</v>
      </c>
      <c r="B283" s="4" t="s">
        <v>9</v>
      </c>
      <c r="C283" s="4" t="s">
        <v>92</v>
      </c>
      <c r="D283" s="4">
        <v>3.0</v>
      </c>
      <c r="E283" s="4" t="str">
        <f>'Макшанова'!AD125</f>
        <v/>
      </c>
      <c r="F283" s="95"/>
      <c r="G283" s="95"/>
    </row>
    <row r="284">
      <c r="A284" s="2" t="s">
        <v>32</v>
      </c>
      <c r="B284" s="4" t="s">
        <v>9</v>
      </c>
      <c r="C284" s="4" t="s">
        <v>92</v>
      </c>
      <c r="D284" s="4">
        <v>3.0</v>
      </c>
      <c r="E284" s="95">
        <v>36600.0</v>
      </c>
      <c r="F284" s="95"/>
      <c r="G284" s="95"/>
    </row>
    <row r="285">
      <c r="A285" s="2" t="s">
        <v>37</v>
      </c>
      <c r="B285" s="4" t="s">
        <v>9</v>
      </c>
      <c r="C285" s="4" t="s">
        <v>92</v>
      </c>
      <c r="D285" s="4">
        <v>3.0</v>
      </c>
      <c r="E285" s="95">
        <v>208333.33333333334</v>
      </c>
      <c r="F285" s="95"/>
      <c r="G285" s="95"/>
    </row>
    <row r="286">
      <c r="A286" s="2" t="s">
        <v>38</v>
      </c>
      <c r="B286" s="4" t="s">
        <v>9</v>
      </c>
      <c r="C286" s="4" t="s">
        <v>92</v>
      </c>
      <c r="D286" s="4">
        <v>3.0</v>
      </c>
      <c r="E286" s="95">
        <v>291666.6666666667</v>
      </c>
      <c r="F286" s="95"/>
      <c r="G286" s="95"/>
    </row>
    <row r="287">
      <c r="A287" s="82" t="s">
        <v>39</v>
      </c>
      <c r="B287" s="4" t="s">
        <v>9</v>
      </c>
      <c r="C287" s="4" t="s">
        <v>92</v>
      </c>
      <c r="D287" s="4">
        <v>3.0</v>
      </c>
      <c r="E287" s="95">
        <v>250000.0</v>
      </c>
      <c r="F287" s="95"/>
      <c r="G287" s="95"/>
    </row>
    <row r="288">
      <c r="A288" s="2" t="s">
        <v>40</v>
      </c>
      <c r="B288" s="4" t="s">
        <v>27</v>
      </c>
      <c r="C288" s="4" t="s">
        <v>92</v>
      </c>
      <c r="D288" s="4">
        <v>3.0</v>
      </c>
      <c r="E288" s="12">
        <f>J288*0.35*(-1)</f>
        <v>0</v>
      </c>
      <c r="F288" s="95"/>
      <c r="G288" s="95"/>
      <c r="J288" s="23">
        <f>E283+E310</f>
        <v>0</v>
      </c>
    </row>
    <row r="289">
      <c r="A289" s="2" t="s">
        <v>41</v>
      </c>
      <c r="B289" s="4" t="s">
        <v>9</v>
      </c>
      <c r="C289" s="4" t="s">
        <v>92</v>
      </c>
      <c r="D289" s="4">
        <v>3.0</v>
      </c>
      <c r="E289" s="4">
        <v>-83333.3333333333</v>
      </c>
      <c r="F289" s="95"/>
      <c r="G289" s="95"/>
    </row>
    <row r="290">
      <c r="A290" s="2" t="s">
        <v>52</v>
      </c>
      <c r="B290" s="4" t="s">
        <v>9</v>
      </c>
      <c r="C290" s="4" t="s">
        <v>92</v>
      </c>
      <c r="D290" s="4">
        <v>3.0</v>
      </c>
      <c r="E290" s="4">
        <v>-33333.3333333333</v>
      </c>
      <c r="F290" s="95"/>
      <c r="G290" s="95"/>
    </row>
    <row r="291">
      <c r="A291" s="2" t="s">
        <v>57</v>
      </c>
      <c r="B291" s="4" t="s">
        <v>9</v>
      </c>
      <c r="C291" s="4" t="s">
        <v>92</v>
      </c>
      <c r="D291" s="4">
        <v>3.0</v>
      </c>
      <c r="E291" s="83">
        <v>-320000.0</v>
      </c>
      <c r="F291" s="95"/>
      <c r="G291" s="95"/>
    </row>
    <row r="292">
      <c r="A292" s="8" t="s">
        <v>7</v>
      </c>
      <c r="B292" s="12" t="s">
        <v>9</v>
      </c>
      <c r="C292" s="12" t="s">
        <v>93</v>
      </c>
      <c r="D292" s="12">
        <v>3.0</v>
      </c>
      <c r="E292" s="12" t="str">
        <f>'Макшанова'!AG106</f>
        <v/>
      </c>
      <c r="F292" s="20"/>
      <c r="G292" s="20"/>
    </row>
    <row r="293">
      <c r="A293" s="8" t="s">
        <v>32</v>
      </c>
      <c r="B293" s="12" t="s">
        <v>9</v>
      </c>
      <c r="C293" s="12" t="s">
        <v>93</v>
      </c>
      <c r="D293" s="12">
        <v>3.0</v>
      </c>
      <c r="E293" s="20">
        <v>36600.0</v>
      </c>
      <c r="F293" s="20"/>
      <c r="G293" s="20"/>
    </row>
    <row r="294">
      <c r="A294" s="8" t="s">
        <v>37</v>
      </c>
      <c r="B294" s="12" t="s">
        <v>9</v>
      </c>
      <c r="C294" s="12" t="s">
        <v>93</v>
      </c>
      <c r="D294" s="12">
        <v>3.0</v>
      </c>
      <c r="E294" s="20">
        <v>208333.33333333334</v>
      </c>
      <c r="F294" s="20"/>
      <c r="G294" s="20"/>
    </row>
    <row r="295">
      <c r="A295" s="8" t="s">
        <v>38</v>
      </c>
      <c r="B295" s="12" t="s">
        <v>9</v>
      </c>
      <c r="C295" s="12" t="s">
        <v>93</v>
      </c>
      <c r="D295" s="12">
        <v>3.0</v>
      </c>
      <c r="E295" s="20">
        <v>291666.6666666667</v>
      </c>
      <c r="F295" s="20"/>
      <c r="G295" s="20"/>
    </row>
    <row r="296">
      <c r="A296" s="8" t="s">
        <v>39</v>
      </c>
      <c r="B296" s="12" t="s">
        <v>9</v>
      </c>
      <c r="C296" s="12" t="s">
        <v>93</v>
      </c>
      <c r="D296" s="12">
        <v>3.0</v>
      </c>
      <c r="E296" s="20">
        <v>250000.0</v>
      </c>
      <c r="F296" s="20"/>
      <c r="G296" s="20"/>
    </row>
    <row r="297">
      <c r="A297" s="8" t="s">
        <v>40</v>
      </c>
      <c r="B297" s="12" t="s">
        <v>27</v>
      </c>
      <c r="C297" s="12" t="s">
        <v>93</v>
      </c>
      <c r="D297" s="12">
        <v>3.0</v>
      </c>
      <c r="E297" s="12">
        <f>J297*0.35*(-1)</f>
        <v>0</v>
      </c>
      <c r="F297" s="20"/>
      <c r="G297" s="20"/>
      <c r="J297" s="23">
        <f>E292+E319</f>
        <v>0</v>
      </c>
    </row>
    <row r="298">
      <c r="A298" s="8" t="s">
        <v>41</v>
      </c>
      <c r="B298" s="12" t="s">
        <v>9</v>
      </c>
      <c r="C298" s="12" t="s">
        <v>93</v>
      </c>
      <c r="D298" s="12">
        <v>3.0</v>
      </c>
      <c r="E298" s="12">
        <v>-83333.3333333333</v>
      </c>
      <c r="F298" s="20"/>
      <c r="G298" s="20"/>
    </row>
    <row r="299">
      <c r="A299" s="8" t="s">
        <v>52</v>
      </c>
      <c r="B299" s="12" t="s">
        <v>9</v>
      </c>
      <c r="C299" s="12" t="s">
        <v>93</v>
      </c>
      <c r="D299" s="12">
        <v>3.0</v>
      </c>
      <c r="E299" s="12">
        <v>-33333.3333333333</v>
      </c>
      <c r="F299" s="20"/>
      <c r="G299" s="20"/>
    </row>
    <row r="300">
      <c r="A300" s="8" t="s">
        <v>57</v>
      </c>
      <c r="B300" s="12" t="s">
        <v>9</v>
      </c>
      <c r="C300" s="12" t="s">
        <v>93</v>
      </c>
      <c r="D300" s="12">
        <v>3.0</v>
      </c>
      <c r="E300" s="12">
        <v>-320000.0</v>
      </c>
      <c r="F300" s="20"/>
      <c r="G300" s="20"/>
    </row>
    <row r="301">
      <c r="A301" s="2" t="s">
        <v>7</v>
      </c>
      <c r="B301" s="4" t="s">
        <v>9</v>
      </c>
      <c r="C301" s="4" t="s">
        <v>94</v>
      </c>
      <c r="D301" s="4">
        <v>4.0</v>
      </c>
      <c r="E301" s="83" t="str">
        <f>'Макшанова'!AJ87</f>
        <v/>
      </c>
      <c r="F301" s="95"/>
      <c r="G301" s="95"/>
    </row>
    <row r="302">
      <c r="A302" s="2" t="s">
        <v>32</v>
      </c>
      <c r="B302" s="4" t="s">
        <v>9</v>
      </c>
      <c r="C302" s="4" t="s">
        <v>94</v>
      </c>
      <c r="D302" s="4">
        <v>4.0</v>
      </c>
      <c r="E302" s="86">
        <v>36600.0</v>
      </c>
      <c r="F302" s="95"/>
      <c r="G302" s="95"/>
    </row>
    <row r="303">
      <c r="A303" s="2" t="s">
        <v>37</v>
      </c>
      <c r="B303" s="4" t="s">
        <v>9</v>
      </c>
      <c r="C303" s="4" t="s">
        <v>94</v>
      </c>
      <c r="D303" s="4">
        <v>4.0</v>
      </c>
      <c r="E303" s="86">
        <f>'Бюджет 2026'!S55/12</f>
        <v>12500</v>
      </c>
      <c r="F303" s="95"/>
      <c r="G303" s="95"/>
    </row>
    <row r="304">
      <c r="A304" s="2" t="s">
        <v>38</v>
      </c>
      <c r="B304" s="4" t="s">
        <v>9</v>
      </c>
      <c r="C304" s="4" t="s">
        <v>94</v>
      </c>
      <c r="D304" s="4">
        <v>4.0</v>
      </c>
      <c r="E304" s="86">
        <f>'Бюджет 2026'!S56/12</f>
        <v>41666.66667</v>
      </c>
      <c r="F304" s="95"/>
      <c r="G304" s="95"/>
    </row>
    <row r="305">
      <c r="A305" s="2" t="s">
        <v>39</v>
      </c>
      <c r="B305" s="4" t="s">
        <v>9</v>
      </c>
      <c r="C305" s="4" t="s">
        <v>94</v>
      </c>
      <c r="D305" s="4">
        <v>4.0</v>
      </c>
      <c r="E305" s="86">
        <v>250000.0</v>
      </c>
      <c r="F305" s="95"/>
      <c r="G305" s="95"/>
    </row>
    <row r="306">
      <c r="A306" s="2" t="s">
        <v>40</v>
      </c>
      <c r="B306" s="4" t="s">
        <v>27</v>
      </c>
      <c r="C306" s="4" t="s">
        <v>94</v>
      </c>
      <c r="D306" s="4">
        <v>4.0</v>
      </c>
      <c r="E306" s="12" t="str">
        <f>J306*0.35*(-1)</f>
        <v>#VALUE!</v>
      </c>
      <c r="F306" s="95"/>
      <c r="G306" s="95"/>
      <c r="J306" s="23" t="str">
        <f>E301+E328</f>
        <v>#VALUE!</v>
      </c>
    </row>
    <row r="307">
      <c r="A307" s="2" t="s">
        <v>41</v>
      </c>
      <c r="B307" s="4" t="s">
        <v>9</v>
      </c>
      <c r="C307" s="4" t="s">
        <v>94</v>
      </c>
      <c r="D307" s="4">
        <v>4.0</v>
      </c>
      <c r="E307" s="83">
        <v>-83333.3333333333</v>
      </c>
      <c r="F307" s="95"/>
      <c r="G307" s="95"/>
    </row>
    <row r="308">
      <c r="A308" s="2" t="s">
        <v>52</v>
      </c>
      <c r="B308" s="4" t="s">
        <v>9</v>
      </c>
      <c r="C308" s="4" t="s">
        <v>94</v>
      </c>
      <c r="D308" s="4">
        <v>4.0</v>
      </c>
      <c r="E308" s="83">
        <v>-33333.3333333333</v>
      </c>
      <c r="F308" s="95"/>
      <c r="G308" s="95"/>
    </row>
    <row r="309">
      <c r="A309" s="2" t="s">
        <v>57</v>
      </c>
      <c r="B309" s="4" t="s">
        <v>9</v>
      </c>
      <c r="C309" s="4" t="s">
        <v>94</v>
      </c>
      <c r="D309" s="4">
        <v>4.0</v>
      </c>
      <c r="E309" s="83">
        <v>-320000.0</v>
      </c>
      <c r="F309" s="95"/>
      <c r="G309" s="95"/>
    </row>
    <row r="310">
      <c r="A310" s="8" t="s">
        <v>7</v>
      </c>
      <c r="B310" s="12" t="s">
        <v>9</v>
      </c>
      <c r="C310" s="12" t="s">
        <v>95</v>
      </c>
      <c r="D310" s="12">
        <v>4.0</v>
      </c>
      <c r="E310" s="12" t="str">
        <f>'Макшанова'!AM68</f>
        <v/>
      </c>
      <c r="F310" s="20"/>
      <c r="G310" s="20"/>
    </row>
    <row r="311">
      <c r="A311" s="8" t="s">
        <v>32</v>
      </c>
      <c r="B311" s="12" t="s">
        <v>9</v>
      </c>
      <c r="C311" s="12" t="s">
        <v>95</v>
      </c>
      <c r="D311" s="12">
        <v>4.0</v>
      </c>
      <c r="E311" s="20">
        <f>36600+6100</f>
        <v>42700</v>
      </c>
      <c r="F311" s="20"/>
      <c r="G311" s="20"/>
    </row>
    <row r="312">
      <c r="A312" s="8" t="s">
        <v>37</v>
      </c>
      <c r="B312" s="12" t="s">
        <v>9</v>
      </c>
      <c r="C312" s="12" t="s">
        <v>95</v>
      </c>
      <c r="D312" s="12">
        <v>4.0</v>
      </c>
      <c r="E312" s="20">
        <f>'Бюджет 2026'!S36/12</f>
        <v>130000</v>
      </c>
      <c r="F312" s="20"/>
      <c r="G312" s="20"/>
    </row>
    <row r="313">
      <c r="A313" s="8" t="s">
        <v>38</v>
      </c>
      <c r="B313" s="12" t="s">
        <v>9</v>
      </c>
      <c r="C313" s="12" t="s">
        <v>95</v>
      </c>
      <c r="D313" s="12">
        <v>4.0</v>
      </c>
      <c r="E313" s="20">
        <f>'Бюджет 2026'!S37/12</f>
        <v>2105552.143</v>
      </c>
      <c r="F313" s="20"/>
      <c r="G313" s="20"/>
    </row>
    <row r="314">
      <c r="A314" s="8" t="s">
        <v>39</v>
      </c>
      <c r="B314" s="12" t="s">
        <v>9</v>
      </c>
      <c r="C314" s="12" t="s">
        <v>95</v>
      </c>
      <c r="D314" s="12">
        <v>4.0</v>
      </c>
      <c r="E314" s="20">
        <v>250000.0</v>
      </c>
      <c r="F314" s="20"/>
      <c r="G314" s="20"/>
    </row>
    <row r="315">
      <c r="A315" s="8" t="s">
        <v>40</v>
      </c>
      <c r="B315" s="12" t="s">
        <v>27</v>
      </c>
      <c r="C315" s="12" t="s">
        <v>95</v>
      </c>
      <c r="D315" s="12">
        <v>4.0</v>
      </c>
      <c r="E315" s="12">
        <f>J315*0.35*(-1)</f>
        <v>112000</v>
      </c>
      <c r="F315" s="20"/>
      <c r="G315" s="20"/>
      <c r="J315" s="23">
        <f>E310+E337</f>
        <v>-320000</v>
      </c>
    </row>
    <row r="316">
      <c r="A316" s="8" t="s">
        <v>41</v>
      </c>
      <c r="B316" s="12" t="s">
        <v>9</v>
      </c>
      <c r="C316" s="12" t="s">
        <v>95</v>
      </c>
      <c r="D316" s="12">
        <v>4.0</v>
      </c>
      <c r="E316" s="12">
        <v>-83333.3333333333</v>
      </c>
      <c r="F316" s="20"/>
      <c r="G316" s="20"/>
    </row>
    <row r="317">
      <c r="A317" s="8" t="s">
        <v>52</v>
      </c>
      <c r="B317" s="12" t="s">
        <v>9</v>
      </c>
      <c r="C317" s="12" t="s">
        <v>95</v>
      </c>
      <c r="D317" s="12">
        <v>4.0</v>
      </c>
      <c r="E317" s="12">
        <v>-33333.3333333333</v>
      </c>
      <c r="F317" s="20"/>
      <c r="G317" s="20"/>
    </row>
    <row r="318">
      <c r="A318" s="8" t="s">
        <v>57</v>
      </c>
      <c r="B318" s="12" t="s">
        <v>9</v>
      </c>
      <c r="C318" s="12" t="s">
        <v>95</v>
      </c>
      <c r="D318" s="12">
        <v>4.0</v>
      </c>
      <c r="E318" s="12">
        <v>-320000.0</v>
      </c>
      <c r="F318" s="20"/>
      <c r="G318" s="20"/>
    </row>
    <row r="319">
      <c r="A319" s="82" t="s">
        <v>7</v>
      </c>
      <c r="B319" s="4" t="s">
        <v>9</v>
      </c>
      <c r="C319" s="4" t="s">
        <v>96</v>
      </c>
      <c r="D319" s="4">
        <v>4.0</v>
      </c>
      <c r="E319" s="83" t="str">
        <f>'Макшанова'!AP46</f>
        <v/>
      </c>
      <c r="F319" s="95"/>
      <c r="G319" s="95"/>
    </row>
    <row r="320">
      <c r="A320" s="2" t="s">
        <v>32</v>
      </c>
      <c r="B320" s="4" t="s">
        <v>9</v>
      </c>
      <c r="C320" s="4" t="s">
        <v>96</v>
      </c>
      <c r="D320" s="4">
        <v>4.0</v>
      </c>
      <c r="E320" s="86">
        <f>36600+6100</f>
        <v>42700</v>
      </c>
      <c r="F320" s="95"/>
      <c r="G320" s="95"/>
    </row>
    <row r="321">
      <c r="A321" s="2" t="s">
        <v>37</v>
      </c>
      <c r="B321" s="4" t="s">
        <v>9</v>
      </c>
      <c r="C321" s="4" t="s">
        <v>96</v>
      </c>
      <c r="D321" s="4">
        <v>4.0</v>
      </c>
      <c r="E321" s="86">
        <f>'Бюджет 2026'!S17/12</f>
        <v>1499091.274</v>
      </c>
      <c r="F321" s="95"/>
      <c r="G321" s="95"/>
    </row>
    <row r="322">
      <c r="A322" s="82" t="s">
        <v>38</v>
      </c>
      <c r="B322" s="4" t="s">
        <v>9</v>
      </c>
      <c r="C322" s="4" t="s">
        <v>96</v>
      </c>
      <c r="D322" s="4">
        <v>4.0</v>
      </c>
      <c r="E322" s="86">
        <f>'Бюджет 2026'!S18/12</f>
        <v>3227218.809</v>
      </c>
      <c r="F322" s="95"/>
      <c r="G322" s="95"/>
    </row>
    <row r="323">
      <c r="A323" s="82" t="s">
        <v>39</v>
      </c>
      <c r="B323" s="4" t="s">
        <v>9</v>
      </c>
      <c r="C323" s="4" t="s">
        <v>96</v>
      </c>
      <c r="D323" s="4">
        <v>4.0</v>
      </c>
      <c r="E323" s="86">
        <v>250000.0</v>
      </c>
      <c r="F323" s="95"/>
      <c r="G323" s="95"/>
    </row>
    <row r="324">
      <c r="A324" s="82" t="s">
        <v>40</v>
      </c>
      <c r="B324" s="4" t="s">
        <v>27</v>
      </c>
      <c r="C324" s="4" t="s">
        <v>96</v>
      </c>
      <c r="D324" s="4">
        <v>4.0</v>
      </c>
      <c r="E324" s="12">
        <f>J324*0.35*(-1)</f>
        <v>112000</v>
      </c>
      <c r="F324" s="95"/>
      <c r="G324" s="95"/>
      <c r="J324" s="23">
        <f>E319+E346</f>
        <v>-320000</v>
      </c>
    </row>
    <row r="325">
      <c r="A325" s="82" t="s">
        <v>41</v>
      </c>
      <c r="B325" s="4" t="s">
        <v>9</v>
      </c>
      <c r="C325" s="4" t="s">
        <v>96</v>
      </c>
      <c r="D325" s="4">
        <v>4.0</v>
      </c>
      <c r="E325" s="83">
        <v>-83333.3333333333</v>
      </c>
      <c r="F325" s="95"/>
      <c r="G325" s="95"/>
    </row>
    <row r="326">
      <c r="A326" s="2" t="s">
        <v>52</v>
      </c>
      <c r="B326" s="4" t="s">
        <v>9</v>
      </c>
      <c r="C326" s="4" t="s">
        <v>96</v>
      </c>
      <c r="D326" s="4">
        <v>4.0</v>
      </c>
      <c r="E326" s="83">
        <v>-33333.3333333333</v>
      </c>
      <c r="F326" s="95"/>
      <c r="G326" s="95"/>
    </row>
    <row r="327">
      <c r="A327" s="2" t="s">
        <v>57</v>
      </c>
      <c r="B327" s="4" t="s">
        <v>9</v>
      </c>
      <c r="C327" s="4" t="s">
        <v>96</v>
      </c>
      <c r="D327" s="4">
        <v>4.0</v>
      </c>
      <c r="E327" s="83">
        <v>-320000.0</v>
      </c>
      <c r="F327" s="95"/>
      <c r="G327" s="95"/>
    </row>
    <row r="328">
      <c r="A328" s="2">
        <v>0.0</v>
      </c>
      <c r="B328" s="4" t="s">
        <v>0</v>
      </c>
      <c r="C328" s="4" t="s">
        <v>2</v>
      </c>
      <c r="D328" s="4" t="s">
        <v>3</v>
      </c>
      <c r="E328" s="4" t="s">
        <v>4</v>
      </c>
      <c r="F328" s="4" t="s">
        <v>5</v>
      </c>
      <c r="G328" s="4" t="s">
        <v>6</v>
      </c>
    </row>
    <row r="329">
      <c r="A329" s="8" t="s">
        <v>7</v>
      </c>
      <c r="B329" s="12" t="s">
        <v>9</v>
      </c>
      <c r="C329" s="12" t="s">
        <v>10</v>
      </c>
      <c r="D329" s="12">
        <v>1.0</v>
      </c>
      <c r="E329" s="20" t="str">
        <f>'Макшанова'!H367</f>
        <v/>
      </c>
      <c r="F329" s="20"/>
      <c r="G329" s="20"/>
    </row>
    <row r="330">
      <c r="A330" s="8" t="s">
        <v>32</v>
      </c>
      <c r="B330" s="12" t="s">
        <v>9</v>
      </c>
      <c r="C330" s="12" t="s">
        <v>10</v>
      </c>
      <c r="D330" s="12">
        <v>1.0</v>
      </c>
      <c r="E330" s="20">
        <f>6100*4</f>
        <v>24400</v>
      </c>
      <c r="F330" s="20"/>
      <c r="G330" s="20"/>
    </row>
    <row r="331">
      <c r="A331" s="8" t="s">
        <v>37</v>
      </c>
      <c r="B331" s="12" t="s">
        <v>9</v>
      </c>
      <c r="C331" s="12" t="s">
        <v>10</v>
      </c>
      <c r="D331" s="12">
        <v>1.0</v>
      </c>
      <c r="E331" s="12">
        <f>'Бюджет 2026'!S335/12</f>
        <v>0</v>
      </c>
      <c r="F331" s="20"/>
      <c r="G331" s="20"/>
    </row>
    <row r="332">
      <c r="A332" s="8" t="s">
        <v>38</v>
      </c>
      <c r="B332" s="12" t="s">
        <v>9</v>
      </c>
      <c r="C332" s="12" t="s">
        <v>10</v>
      </c>
      <c r="D332" s="12">
        <v>1.0</v>
      </c>
      <c r="E332" s="20">
        <f>'Бюджет 2026'!S336/12</f>
        <v>0</v>
      </c>
      <c r="F332" s="20"/>
      <c r="G332" s="20"/>
    </row>
    <row r="333">
      <c r="A333" s="8" t="s">
        <v>39</v>
      </c>
      <c r="B333" s="12" t="s">
        <v>9</v>
      </c>
      <c r="C333" s="12" t="s">
        <v>10</v>
      </c>
      <c r="D333" s="12">
        <v>1.0</v>
      </c>
      <c r="E333" s="20">
        <f>59000*2</f>
        <v>118000</v>
      </c>
      <c r="F333" s="20"/>
      <c r="G333" s="20"/>
    </row>
    <row r="334">
      <c r="A334" s="8" t="s">
        <v>40</v>
      </c>
      <c r="B334" s="12" t="s">
        <v>27</v>
      </c>
      <c r="C334" s="12" t="s">
        <v>10</v>
      </c>
      <c r="D334" s="12">
        <v>1.0</v>
      </c>
      <c r="E334" s="12">
        <f>J334*0.35*(-1)</f>
        <v>0</v>
      </c>
      <c r="F334" s="20"/>
      <c r="G334" s="20"/>
      <c r="J334" s="23">
        <f>E329+E356</f>
        <v>0</v>
      </c>
    </row>
    <row r="335">
      <c r="A335" s="8" t="s">
        <v>41</v>
      </c>
      <c r="B335" s="12" t="s">
        <v>9</v>
      </c>
      <c r="C335" s="12" t="s">
        <v>10</v>
      </c>
      <c r="D335" s="12">
        <v>1.0</v>
      </c>
      <c r="E335" s="20"/>
      <c r="F335" s="20"/>
      <c r="G335" s="20"/>
    </row>
    <row r="336">
      <c r="A336" s="8" t="s">
        <v>52</v>
      </c>
      <c r="B336" s="12" t="s">
        <v>9</v>
      </c>
      <c r="C336" s="12" t="s">
        <v>10</v>
      </c>
      <c r="D336" s="12">
        <v>1.0</v>
      </c>
      <c r="E336" s="12">
        <v>-20000.0</v>
      </c>
      <c r="F336" s="20"/>
      <c r="G336" s="20"/>
    </row>
    <row r="337">
      <c r="A337" s="8" t="s">
        <v>57</v>
      </c>
      <c r="B337" s="12" t="s">
        <v>9</v>
      </c>
      <c r="C337" s="12" t="s">
        <v>10</v>
      </c>
      <c r="D337" s="12">
        <v>1.0</v>
      </c>
      <c r="E337" s="12">
        <v>-320000.0</v>
      </c>
      <c r="F337" s="20"/>
      <c r="G337" s="20"/>
    </row>
    <row r="338">
      <c r="A338" s="2" t="s">
        <v>7</v>
      </c>
      <c r="B338" s="4" t="s">
        <v>9</v>
      </c>
      <c r="C338" s="4" t="s">
        <v>76</v>
      </c>
      <c r="D338" s="4">
        <v>1.0</v>
      </c>
      <c r="E338" s="4" t="str">
        <f>'Макшанова'!L348</f>
        <v/>
      </c>
      <c r="F338" s="95"/>
      <c r="G338" s="95"/>
    </row>
    <row r="339">
      <c r="A339" s="2" t="s">
        <v>32</v>
      </c>
      <c r="B339" s="4" t="s">
        <v>9</v>
      </c>
      <c r="C339" s="4" t="s">
        <v>76</v>
      </c>
      <c r="D339" s="4">
        <v>1.0</v>
      </c>
      <c r="E339" s="4">
        <v>30500.0</v>
      </c>
      <c r="F339" s="95"/>
      <c r="G339" s="95"/>
    </row>
    <row r="340">
      <c r="A340" s="2" t="s">
        <v>37</v>
      </c>
      <c r="B340" s="4" t="s">
        <v>9</v>
      </c>
      <c r="C340" s="4" t="s">
        <v>76</v>
      </c>
      <c r="D340" s="4">
        <v>1.0</v>
      </c>
      <c r="E340" s="95">
        <f>'Бюджет 2026'!S316/12</f>
        <v>0</v>
      </c>
      <c r="F340" s="95"/>
      <c r="G340" s="95"/>
    </row>
    <row r="341">
      <c r="A341" s="2" t="s">
        <v>38</v>
      </c>
      <c r="B341" s="4" t="s">
        <v>9</v>
      </c>
      <c r="C341" s="4" t="s">
        <v>76</v>
      </c>
      <c r="D341" s="4">
        <v>1.0</v>
      </c>
      <c r="E341" s="95">
        <f>'Бюджет 2026'!S317/12</f>
        <v>0</v>
      </c>
      <c r="F341" s="95"/>
      <c r="G341" s="95"/>
    </row>
    <row r="342">
      <c r="A342" s="2" t="s">
        <v>39</v>
      </c>
      <c r="B342" s="4" t="s">
        <v>9</v>
      </c>
      <c r="C342" s="4" t="s">
        <v>76</v>
      </c>
      <c r="D342" s="4">
        <v>1.0</v>
      </c>
      <c r="E342" s="95">
        <f>59000*3</f>
        <v>177000</v>
      </c>
      <c r="F342" s="95"/>
      <c r="G342" s="95"/>
    </row>
    <row r="343">
      <c r="A343" s="2" t="s">
        <v>40</v>
      </c>
      <c r="B343" s="4" t="s">
        <v>27</v>
      </c>
      <c r="C343" s="4" t="s">
        <v>76</v>
      </c>
      <c r="D343" s="4">
        <v>1.0</v>
      </c>
      <c r="E343" s="12">
        <f>J343*0.35*(-1)</f>
        <v>0</v>
      </c>
      <c r="F343" s="95"/>
      <c r="G343" s="95"/>
      <c r="J343" s="23">
        <f>E338+E365</f>
        <v>0</v>
      </c>
    </row>
    <row r="344">
      <c r="A344" s="2" t="s">
        <v>41</v>
      </c>
      <c r="B344" s="4" t="s">
        <v>9</v>
      </c>
      <c r="C344" s="4" t="s">
        <v>76</v>
      </c>
      <c r="D344" s="4">
        <v>1.0</v>
      </c>
      <c r="E344" s="4">
        <v>-113636.363636364</v>
      </c>
      <c r="F344" s="95"/>
      <c r="G344" s="95"/>
    </row>
    <row r="345">
      <c r="A345" s="2" t="s">
        <v>52</v>
      </c>
      <c r="B345" s="4" t="s">
        <v>9</v>
      </c>
      <c r="C345" s="4" t="s">
        <v>76</v>
      </c>
      <c r="D345" s="4">
        <v>1.0</v>
      </c>
      <c r="E345" s="83">
        <v>-33333.3333333333</v>
      </c>
      <c r="F345" s="95"/>
      <c r="G345" s="95"/>
    </row>
    <row r="346">
      <c r="A346" s="2" t="s">
        <v>57</v>
      </c>
      <c r="B346" s="4" t="s">
        <v>9</v>
      </c>
      <c r="C346" s="4" t="s">
        <v>76</v>
      </c>
      <c r="D346" s="4">
        <v>1.0</v>
      </c>
      <c r="E346" s="83">
        <v>-320000.0</v>
      </c>
      <c r="F346" s="95"/>
      <c r="G346" s="95"/>
    </row>
    <row r="347">
      <c r="A347" s="8" t="s">
        <v>7</v>
      </c>
      <c r="B347" s="12" t="s">
        <v>9</v>
      </c>
      <c r="C347" s="12" t="s">
        <v>88</v>
      </c>
      <c r="D347" s="12">
        <v>1.0</v>
      </c>
      <c r="E347" s="20" t="str">
        <f>'Макшанова'!O329</f>
        <v/>
      </c>
      <c r="F347" s="20"/>
      <c r="G347" s="20"/>
    </row>
    <row r="348">
      <c r="A348" s="8" t="s">
        <v>32</v>
      </c>
      <c r="B348" s="12" t="s">
        <v>9</v>
      </c>
      <c r="C348" s="12" t="s">
        <v>88</v>
      </c>
      <c r="D348" s="12">
        <v>1.0</v>
      </c>
      <c r="E348" s="12">
        <f>30500+6100</f>
        <v>36600</v>
      </c>
      <c r="F348" s="20"/>
      <c r="G348" s="20"/>
    </row>
    <row r="349">
      <c r="A349" s="8" t="s">
        <v>37</v>
      </c>
      <c r="B349" s="12" t="s">
        <v>9</v>
      </c>
      <c r="C349" s="12" t="s">
        <v>88</v>
      </c>
      <c r="D349" s="12">
        <v>1.0</v>
      </c>
      <c r="E349" s="20">
        <f>'Бюджет 2026'!S297/12</f>
        <v>0</v>
      </c>
      <c r="F349" s="20"/>
      <c r="G349" s="20"/>
    </row>
    <row r="350">
      <c r="A350" s="8" t="s">
        <v>38</v>
      </c>
      <c r="B350" s="12" t="s">
        <v>9</v>
      </c>
      <c r="C350" s="12" t="s">
        <v>88</v>
      </c>
      <c r="D350" s="12">
        <v>1.0</v>
      </c>
      <c r="E350" s="20">
        <f>'Бюджет 2026'!S298/12</f>
        <v>0</v>
      </c>
      <c r="F350" s="20"/>
      <c r="G350" s="20"/>
    </row>
    <row r="351">
      <c r="A351" s="8" t="s">
        <v>39</v>
      </c>
      <c r="B351" s="12" t="s">
        <v>9</v>
      </c>
      <c r="C351" s="12" t="s">
        <v>88</v>
      </c>
      <c r="D351" s="12">
        <v>1.0</v>
      </c>
      <c r="E351" s="20">
        <f>'Бюджет 2026'!S299/12</f>
        <v>0</v>
      </c>
      <c r="F351" s="20"/>
      <c r="G351" s="20"/>
    </row>
    <row r="352">
      <c r="A352" s="8" t="s">
        <v>40</v>
      </c>
      <c r="B352" s="12" t="s">
        <v>27</v>
      </c>
      <c r="C352" s="12" t="s">
        <v>88</v>
      </c>
      <c r="D352" s="12">
        <v>1.0</v>
      </c>
      <c r="E352" s="12">
        <f>J352*0.35*(-1)</f>
        <v>0</v>
      </c>
      <c r="F352" s="20"/>
      <c r="G352" s="20"/>
      <c r="J352" s="23">
        <f>E347+E374</f>
        <v>0</v>
      </c>
    </row>
    <row r="353">
      <c r="A353" s="8" t="s">
        <v>41</v>
      </c>
      <c r="B353" s="12" t="s">
        <v>9</v>
      </c>
      <c r="C353" s="12" t="s">
        <v>88</v>
      </c>
      <c r="D353" s="12">
        <v>1.0</v>
      </c>
      <c r="E353" s="12">
        <v>-227272.727272727</v>
      </c>
      <c r="F353" s="20"/>
      <c r="G353" s="20"/>
    </row>
    <row r="354">
      <c r="A354" s="8" t="s">
        <v>52</v>
      </c>
      <c r="B354" s="12" t="s">
        <v>9</v>
      </c>
      <c r="C354" s="12" t="s">
        <v>88</v>
      </c>
      <c r="D354" s="12">
        <v>1.0</v>
      </c>
      <c r="E354" s="12">
        <v>-33333.3333333333</v>
      </c>
      <c r="F354" s="20"/>
      <c r="G354" s="20"/>
    </row>
    <row r="355">
      <c r="A355" s="8" t="s">
        <v>57</v>
      </c>
      <c r="B355" s="12" t="s">
        <v>9</v>
      </c>
      <c r="C355" s="12" t="s">
        <v>88</v>
      </c>
      <c r="D355" s="12">
        <v>1.0</v>
      </c>
      <c r="E355" s="12">
        <v>-320000.0</v>
      </c>
      <c r="F355" s="20"/>
      <c r="G355" s="20"/>
    </row>
    <row r="356">
      <c r="A356" s="2" t="s">
        <v>7</v>
      </c>
      <c r="B356" s="4" t="s">
        <v>9</v>
      </c>
      <c r="C356" s="4" t="s">
        <v>89</v>
      </c>
      <c r="D356" s="4">
        <v>2.0</v>
      </c>
      <c r="E356" s="86" t="str">
        <f>'Макшанова'!R310</f>
        <v/>
      </c>
      <c r="F356" s="95"/>
      <c r="G356" s="95"/>
    </row>
    <row r="357">
      <c r="A357" s="2" t="s">
        <v>32</v>
      </c>
      <c r="B357" s="4" t="s">
        <v>9</v>
      </c>
      <c r="C357" s="4" t="s">
        <v>89</v>
      </c>
      <c r="D357" s="4">
        <v>2.0</v>
      </c>
      <c r="E357" s="83">
        <f>30500+6100</f>
        <v>36600</v>
      </c>
      <c r="F357" s="95"/>
      <c r="G357" s="95"/>
    </row>
    <row r="358">
      <c r="A358" s="2" t="s">
        <v>37</v>
      </c>
      <c r="B358" s="4" t="s">
        <v>9</v>
      </c>
      <c r="C358" s="4" t="s">
        <v>89</v>
      </c>
      <c r="D358" s="4">
        <v>2.0</v>
      </c>
      <c r="E358" s="86">
        <f>'Бюджет 2026'!S278/12</f>
        <v>0</v>
      </c>
      <c r="F358" s="95"/>
      <c r="G358" s="95"/>
    </row>
    <row r="359">
      <c r="A359" s="2" t="s">
        <v>38</v>
      </c>
      <c r="B359" s="4" t="s">
        <v>9</v>
      </c>
      <c r="C359" s="4" t="s">
        <v>89</v>
      </c>
      <c r="D359" s="4">
        <v>2.0</v>
      </c>
      <c r="E359" s="86">
        <f>'Бюджет 2026'!S279/12</f>
        <v>0</v>
      </c>
      <c r="F359" s="95"/>
      <c r="G359" s="95"/>
    </row>
    <row r="360">
      <c r="A360" s="2" t="s">
        <v>39</v>
      </c>
      <c r="B360" s="4" t="s">
        <v>9</v>
      </c>
      <c r="C360" s="4" t="s">
        <v>89</v>
      </c>
      <c r="D360" s="4">
        <v>2.0</v>
      </c>
      <c r="E360" s="86">
        <f>'Бюджет 2026'!S307/12</f>
        <v>0</v>
      </c>
      <c r="F360" s="95"/>
      <c r="G360" s="95"/>
    </row>
    <row r="361">
      <c r="A361" s="2" t="s">
        <v>40</v>
      </c>
      <c r="B361" s="4" t="s">
        <v>27</v>
      </c>
      <c r="C361" s="4" t="s">
        <v>89</v>
      </c>
      <c r="D361" s="4">
        <v>2.0</v>
      </c>
      <c r="E361" s="12">
        <f>J361*0.35*(-1)</f>
        <v>0</v>
      </c>
      <c r="F361" s="95"/>
      <c r="G361" s="95"/>
      <c r="J361" s="23">
        <f>E356+E383</f>
        <v>0</v>
      </c>
    </row>
    <row r="362">
      <c r="A362" s="2" t="s">
        <v>41</v>
      </c>
      <c r="B362" s="4" t="s">
        <v>9</v>
      </c>
      <c r="C362" s="4" t="s">
        <v>89</v>
      </c>
      <c r="D362" s="4">
        <v>2.0</v>
      </c>
      <c r="E362" s="83">
        <v>-170181.818181818</v>
      </c>
      <c r="F362" s="95"/>
      <c r="G362" s="95"/>
    </row>
    <row r="363">
      <c r="A363" s="2" t="s">
        <v>52</v>
      </c>
      <c r="B363" s="4" t="s">
        <v>9</v>
      </c>
      <c r="C363" s="4" t="s">
        <v>89</v>
      </c>
      <c r="D363" s="4">
        <v>2.0</v>
      </c>
      <c r="E363" s="83">
        <v>-33333.3333333333</v>
      </c>
      <c r="F363" s="95"/>
      <c r="G363" s="95"/>
    </row>
    <row r="364">
      <c r="A364" s="2" t="s">
        <v>57</v>
      </c>
      <c r="B364" s="4" t="s">
        <v>9</v>
      </c>
      <c r="C364" s="4" t="s">
        <v>89</v>
      </c>
      <c r="D364" s="4">
        <v>2.0</v>
      </c>
      <c r="E364" s="83">
        <v>-320000.0</v>
      </c>
      <c r="F364" s="95"/>
      <c r="G364" s="95"/>
    </row>
    <row r="365">
      <c r="A365" s="8" t="s">
        <v>7</v>
      </c>
      <c r="B365" s="12" t="s">
        <v>9</v>
      </c>
      <c r="C365" s="12" t="s">
        <v>28</v>
      </c>
      <c r="D365" s="12">
        <v>2.0</v>
      </c>
      <c r="E365" s="20" t="str">
        <f>'Макшанова'!R291</f>
        <v/>
      </c>
      <c r="F365" s="20"/>
      <c r="G365" s="20"/>
    </row>
    <row r="366">
      <c r="A366" s="8" t="s">
        <v>32</v>
      </c>
      <c r="B366" s="12" t="s">
        <v>9</v>
      </c>
      <c r="C366" s="12" t="s">
        <v>28</v>
      </c>
      <c r="D366" s="12">
        <v>2.0</v>
      </c>
      <c r="E366" s="12">
        <v>36600.0</v>
      </c>
      <c r="F366" s="20"/>
      <c r="G366" s="20"/>
    </row>
    <row r="367">
      <c r="A367" s="8" t="s">
        <v>37</v>
      </c>
      <c r="B367" s="12" t="s">
        <v>9</v>
      </c>
      <c r="C367" s="12" t="s">
        <v>28</v>
      </c>
      <c r="D367" s="12">
        <v>2.0</v>
      </c>
      <c r="E367" s="20">
        <f>'Бюджет 2026'!S259/12</f>
        <v>0</v>
      </c>
      <c r="F367" s="20"/>
      <c r="G367" s="20"/>
    </row>
    <row r="368">
      <c r="A368" s="8" t="s">
        <v>38</v>
      </c>
      <c r="B368" s="12" t="s">
        <v>9</v>
      </c>
      <c r="C368" s="12" t="s">
        <v>28</v>
      </c>
      <c r="D368" s="12">
        <v>2.0</v>
      </c>
      <c r="E368" s="20">
        <f>'Бюджет 2026'!S260/12</f>
        <v>0</v>
      </c>
      <c r="F368" s="20"/>
      <c r="G368" s="20"/>
    </row>
    <row r="369">
      <c r="A369" s="8" t="s">
        <v>39</v>
      </c>
      <c r="B369" s="12" t="s">
        <v>9</v>
      </c>
      <c r="C369" s="12" t="s">
        <v>28</v>
      </c>
      <c r="D369" s="12">
        <v>2.0</v>
      </c>
      <c r="E369" s="20">
        <f>'Бюджет 2026'!S261/12</f>
        <v>0</v>
      </c>
      <c r="F369" s="20"/>
      <c r="G369" s="20"/>
    </row>
    <row r="370">
      <c r="A370" s="8" t="s">
        <v>40</v>
      </c>
      <c r="B370" s="12" t="s">
        <v>27</v>
      </c>
      <c r="C370" s="12" t="s">
        <v>28</v>
      </c>
      <c r="D370" s="12">
        <v>2.0</v>
      </c>
      <c r="E370" s="12">
        <f>J370*0.35*(-1)</f>
        <v>0</v>
      </c>
      <c r="F370" s="20"/>
      <c r="G370" s="20"/>
      <c r="J370" s="23">
        <f>E365+E392</f>
        <v>0</v>
      </c>
    </row>
    <row r="371">
      <c r="A371" s="8" t="s">
        <v>41</v>
      </c>
      <c r="B371" s="12" t="s">
        <v>9</v>
      </c>
      <c r="C371" s="12" t="s">
        <v>28</v>
      </c>
      <c r="D371" s="12">
        <v>2.0</v>
      </c>
      <c r="E371" s="12">
        <v>-104166.666666667</v>
      </c>
      <c r="F371" s="20"/>
      <c r="G371" s="20"/>
    </row>
    <row r="372">
      <c r="A372" s="8" t="s">
        <v>52</v>
      </c>
      <c r="B372" s="12" t="s">
        <v>9</v>
      </c>
      <c r="C372" s="12" t="s">
        <v>28</v>
      </c>
      <c r="D372" s="12">
        <v>2.0</v>
      </c>
      <c r="E372" s="12">
        <v>-33333.3333333333</v>
      </c>
      <c r="F372" s="20"/>
      <c r="G372" s="20"/>
    </row>
    <row r="373">
      <c r="A373" s="8" t="s">
        <v>57</v>
      </c>
      <c r="B373" s="12" t="s">
        <v>9</v>
      </c>
      <c r="C373" s="12" t="s">
        <v>28</v>
      </c>
      <c r="D373" s="12">
        <v>2.0</v>
      </c>
      <c r="E373" s="12">
        <v>-320000.0</v>
      </c>
      <c r="F373" s="20"/>
      <c r="G373" s="20"/>
    </row>
    <row r="374">
      <c r="A374" s="82" t="s">
        <v>7</v>
      </c>
      <c r="B374" s="83" t="s">
        <v>9</v>
      </c>
      <c r="C374" s="83" t="s">
        <v>90</v>
      </c>
      <c r="D374" s="83">
        <v>2.0</v>
      </c>
      <c r="E374" s="83" t="str">
        <f>'Макшанова'!X272</f>
        <v/>
      </c>
      <c r="F374" s="86"/>
      <c r="G374" s="86"/>
    </row>
    <row r="375">
      <c r="A375" s="82" t="s">
        <v>32</v>
      </c>
      <c r="B375" s="83" t="s">
        <v>9</v>
      </c>
      <c r="C375" s="83" t="s">
        <v>90</v>
      </c>
      <c r="D375" s="83">
        <v>2.0</v>
      </c>
      <c r="E375" s="86" t="str">
        <f>E319</f>
        <v/>
      </c>
      <c r="F375" s="86"/>
      <c r="G375" s="86"/>
    </row>
    <row r="376">
      <c r="A376" s="82" t="s">
        <v>37</v>
      </c>
      <c r="B376" s="83" t="s">
        <v>9</v>
      </c>
      <c r="C376" s="83" t="s">
        <v>90</v>
      </c>
      <c r="D376" s="83">
        <v>2.0</v>
      </c>
      <c r="E376" s="86">
        <v>208333.33333333334</v>
      </c>
      <c r="F376" s="86"/>
      <c r="G376" s="86"/>
    </row>
    <row r="377">
      <c r="A377" s="82" t="s">
        <v>38</v>
      </c>
      <c r="B377" s="83" t="s">
        <v>9</v>
      </c>
      <c r="C377" s="83" t="s">
        <v>90</v>
      </c>
      <c r="D377" s="83">
        <v>2.0</v>
      </c>
      <c r="E377" s="86">
        <v>291666.6666666667</v>
      </c>
      <c r="F377" s="86"/>
      <c r="G377" s="86"/>
    </row>
    <row r="378">
      <c r="A378" s="82" t="s">
        <v>39</v>
      </c>
      <c r="B378" s="83" t="s">
        <v>9</v>
      </c>
      <c r="C378" s="83" t="s">
        <v>90</v>
      </c>
      <c r="D378" s="83">
        <v>2.0</v>
      </c>
      <c r="E378" s="86">
        <f>E350</f>
        <v>0</v>
      </c>
      <c r="F378" s="86"/>
      <c r="G378" s="86"/>
    </row>
    <row r="379">
      <c r="A379" s="82" t="s">
        <v>40</v>
      </c>
      <c r="B379" s="83" t="s">
        <v>27</v>
      </c>
      <c r="C379" s="83" t="s">
        <v>90</v>
      </c>
      <c r="D379" s="83">
        <v>2.0</v>
      </c>
      <c r="E379" s="12">
        <f>J379*0.35*(-1)</f>
        <v>0</v>
      </c>
      <c r="F379" s="86"/>
      <c r="G379" s="86"/>
      <c r="J379" s="23">
        <f>E374+E401</f>
        <v>0</v>
      </c>
    </row>
    <row r="380">
      <c r="A380" s="82" t="s">
        <v>41</v>
      </c>
      <c r="B380" s="83" t="s">
        <v>9</v>
      </c>
      <c r="C380" s="83" t="s">
        <v>90</v>
      </c>
      <c r="D380" s="83">
        <v>2.0</v>
      </c>
      <c r="E380" s="83">
        <v>-83333.3333333333</v>
      </c>
      <c r="F380" s="86"/>
      <c r="G380" s="86"/>
    </row>
    <row r="381">
      <c r="A381" s="82" t="s">
        <v>52</v>
      </c>
      <c r="B381" s="83" t="s">
        <v>9</v>
      </c>
      <c r="C381" s="83" t="s">
        <v>90</v>
      </c>
      <c r="D381" s="83">
        <v>2.0</v>
      </c>
      <c r="E381" s="83">
        <v>-33333.3333333333</v>
      </c>
      <c r="F381" s="86"/>
      <c r="G381" s="86"/>
    </row>
    <row r="382">
      <c r="A382" s="82" t="s">
        <v>57</v>
      </c>
      <c r="B382" s="83" t="s">
        <v>9</v>
      </c>
      <c r="C382" s="83" t="s">
        <v>90</v>
      </c>
      <c r="D382" s="83">
        <v>2.0</v>
      </c>
      <c r="E382" s="83">
        <v>-320000.0</v>
      </c>
      <c r="F382" s="86"/>
      <c r="G382" s="86"/>
    </row>
    <row r="383">
      <c r="A383" s="8" t="s">
        <v>7</v>
      </c>
      <c r="B383" s="12" t="s">
        <v>9</v>
      </c>
      <c r="C383" s="12" t="s">
        <v>91</v>
      </c>
      <c r="D383" s="12">
        <v>3.0</v>
      </c>
      <c r="E383" s="12" t="str">
        <f>'Макшанова'!AA253</f>
        <v/>
      </c>
      <c r="F383" s="20"/>
      <c r="G383" s="20"/>
    </row>
    <row r="384">
      <c r="A384" s="8" t="s">
        <v>32</v>
      </c>
      <c r="B384" s="12" t="s">
        <v>9</v>
      </c>
      <c r="C384" s="12" t="s">
        <v>91</v>
      </c>
      <c r="D384" s="12">
        <v>3.0</v>
      </c>
      <c r="E384" s="20">
        <f>36600+3500</f>
        <v>40100</v>
      </c>
      <c r="F384" s="20"/>
      <c r="G384" s="20"/>
    </row>
    <row r="385">
      <c r="A385" s="8" t="s">
        <v>37</v>
      </c>
      <c r="B385" s="12" t="s">
        <v>9</v>
      </c>
      <c r="C385" s="12" t="s">
        <v>91</v>
      </c>
      <c r="D385" s="12">
        <v>3.0</v>
      </c>
      <c r="E385" s="20">
        <f>'Бюджет 2026'!S221/12</f>
        <v>0</v>
      </c>
      <c r="F385" s="20"/>
      <c r="G385" s="20"/>
    </row>
    <row r="386">
      <c r="A386" s="8" t="s">
        <v>38</v>
      </c>
      <c r="B386" s="12" t="s">
        <v>9</v>
      </c>
      <c r="C386" s="12" t="s">
        <v>91</v>
      </c>
      <c r="D386" s="12">
        <v>3.0</v>
      </c>
      <c r="E386" s="20">
        <v>291666.6666666667</v>
      </c>
      <c r="F386" s="20"/>
      <c r="G386" s="20"/>
    </row>
    <row r="387">
      <c r="A387" s="8" t="s">
        <v>39</v>
      </c>
      <c r="B387" s="12" t="s">
        <v>9</v>
      </c>
      <c r="C387" s="12" t="s">
        <v>91</v>
      </c>
      <c r="D387" s="12">
        <v>3.0</v>
      </c>
      <c r="E387" s="20">
        <v>250000.0</v>
      </c>
      <c r="F387" s="20"/>
      <c r="G387" s="20"/>
    </row>
    <row r="388">
      <c r="A388" s="8" t="s">
        <v>40</v>
      </c>
      <c r="B388" s="12" t="s">
        <v>27</v>
      </c>
      <c r="C388" s="12" t="s">
        <v>91</v>
      </c>
      <c r="D388" s="12">
        <v>3.0</v>
      </c>
      <c r="E388" s="12">
        <f>J388*0.35*(-1)</f>
        <v>0</v>
      </c>
      <c r="F388" s="20"/>
      <c r="G388" s="20"/>
      <c r="J388" s="23">
        <f>E383+E410</f>
        <v>0</v>
      </c>
    </row>
    <row r="389">
      <c r="A389" s="8" t="s">
        <v>41</v>
      </c>
      <c r="B389" s="12" t="s">
        <v>9</v>
      </c>
      <c r="C389" s="12" t="s">
        <v>91</v>
      </c>
      <c r="D389" s="12">
        <v>3.0</v>
      </c>
      <c r="E389" s="12">
        <v>-83333.3333333333</v>
      </c>
      <c r="F389" s="20"/>
      <c r="G389" s="20"/>
    </row>
    <row r="390">
      <c r="A390" s="8" t="s">
        <v>52</v>
      </c>
      <c r="B390" s="12" t="s">
        <v>9</v>
      </c>
      <c r="C390" s="12" t="s">
        <v>91</v>
      </c>
      <c r="D390" s="12">
        <v>3.0</v>
      </c>
      <c r="E390" s="12">
        <v>-33333.3333333333</v>
      </c>
      <c r="F390" s="20"/>
      <c r="G390" s="20"/>
    </row>
    <row r="391">
      <c r="A391" s="8" t="s">
        <v>57</v>
      </c>
      <c r="B391" s="12" t="s">
        <v>9</v>
      </c>
      <c r="C391" s="12" t="s">
        <v>91</v>
      </c>
      <c r="D391" s="12">
        <v>3.0</v>
      </c>
      <c r="E391" s="12">
        <v>-320000.0</v>
      </c>
      <c r="F391" s="20"/>
      <c r="G391" s="20"/>
    </row>
    <row r="392">
      <c r="A392" s="2" t="s">
        <v>7</v>
      </c>
      <c r="B392" s="4" t="s">
        <v>9</v>
      </c>
      <c r="C392" s="4" t="s">
        <v>92</v>
      </c>
      <c r="D392" s="4">
        <v>3.0</v>
      </c>
      <c r="E392" s="4" t="str">
        <f>'Макшанова'!AD234</f>
        <v/>
      </c>
      <c r="F392" s="95"/>
      <c r="G392" s="95"/>
    </row>
    <row r="393">
      <c r="A393" s="2" t="s">
        <v>32</v>
      </c>
      <c r="B393" s="4" t="s">
        <v>9</v>
      </c>
      <c r="C393" s="4" t="s">
        <v>92</v>
      </c>
      <c r="D393" s="4">
        <v>3.0</v>
      </c>
      <c r="E393" s="95">
        <v>36600.0</v>
      </c>
      <c r="F393" s="95"/>
      <c r="G393" s="95"/>
    </row>
    <row r="394">
      <c r="A394" s="2" t="s">
        <v>37</v>
      </c>
      <c r="B394" s="4" t="s">
        <v>9</v>
      </c>
      <c r="C394" s="4" t="s">
        <v>92</v>
      </c>
      <c r="D394" s="4">
        <v>3.0</v>
      </c>
      <c r="E394" s="95">
        <v>208333.33333333334</v>
      </c>
      <c r="F394" s="95"/>
      <c r="G394" s="95"/>
    </row>
    <row r="395">
      <c r="A395" s="2" t="s">
        <v>38</v>
      </c>
      <c r="B395" s="4" t="s">
        <v>9</v>
      </c>
      <c r="C395" s="4" t="s">
        <v>92</v>
      </c>
      <c r="D395" s="4">
        <v>3.0</v>
      </c>
      <c r="E395" s="95">
        <v>291666.6666666667</v>
      </c>
      <c r="F395" s="95"/>
      <c r="G395" s="95"/>
    </row>
    <row r="396">
      <c r="A396" s="82" t="s">
        <v>39</v>
      </c>
      <c r="B396" s="4" t="s">
        <v>9</v>
      </c>
      <c r="C396" s="4" t="s">
        <v>92</v>
      </c>
      <c r="D396" s="4">
        <v>3.0</v>
      </c>
      <c r="E396" s="95">
        <v>250000.0</v>
      </c>
      <c r="F396" s="95"/>
      <c r="G396" s="95"/>
    </row>
    <row r="397">
      <c r="A397" s="2" t="s">
        <v>40</v>
      </c>
      <c r="B397" s="4" t="s">
        <v>27</v>
      </c>
      <c r="C397" s="4" t="s">
        <v>92</v>
      </c>
      <c r="D397" s="4">
        <v>3.0</v>
      </c>
      <c r="E397" s="12">
        <f>J397*0.35*(-1)</f>
        <v>0</v>
      </c>
      <c r="F397" s="95"/>
      <c r="G397" s="95"/>
      <c r="J397" s="23">
        <f>E392+E419</f>
        <v>0</v>
      </c>
    </row>
    <row r="398">
      <c r="A398" s="2" t="s">
        <v>41</v>
      </c>
      <c r="B398" s="4" t="s">
        <v>9</v>
      </c>
      <c r="C398" s="4" t="s">
        <v>92</v>
      </c>
      <c r="D398" s="4">
        <v>3.0</v>
      </c>
      <c r="E398" s="4">
        <v>-83333.3333333333</v>
      </c>
      <c r="F398" s="95"/>
      <c r="G398" s="95"/>
    </row>
    <row r="399">
      <c r="A399" s="2" t="s">
        <v>52</v>
      </c>
      <c r="B399" s="4" t="s">
        <v>9</v>
      </c>
      <c r="C399" s="4" t="s">
        <v>92</v>
      </c>
      <c r="D399" s="4">
        <v>3.0</v>
      </c>
      <c r="E399" s="4">
        <v>-33333.3333333333</v>
      </c>
      <c r="F399" s="95"/>
      <c r="G399" s="95"/>
    </row>
    <row r="400">
      <c r="A400" s="2" t="s">
        <v>57</v>
      </c>
      <c r="B400" s="4" t="s">
        <v>9</v>
      </c>
      <c r="C400" s="4" t="s">
        <v>92</v>
      </c>
      <c r="D400" s="4">
        <v>3.0</v>
      </c>
      <c r="E400" s="83">
        <v>-320000.0</v>
      </c>
      <c r="F400" s="95"/>
      <c r="G400" s="95"/>
    </row>
    <row r="401">
      <c r="A401" s="8" t="s">
        <v>7</v>
      </c>
      <c r="B401" s="12" t="s">
        <v>9</v>
      </c>
      <c r="C401" s="12" t="s">
        <v>93</v>
      </c>
      <c r="D401" s="12">
        <v>3.0</v>
      </c>
      <c r="E401" s="12" t="str">
        <f>'Макшанова'!AG215</f>
        <v/>
      </c>
      <c r="F401" s="20"/>
      <c r="G401" s="20"/>
    </row>
    <row r="402">
      <c r="A402" s="8" t="s">
        <v>32</v>
      </c>
      <c r="B402" s="12" t="s">
        <v>9</v>
      </c>
      <c r="C402" s="12" t="s">
        <v>93</v>
      </c>
      <c r="D402" s="12">
        <v>3.0</v>
      </c>
      <c r="E402" s="20">
        <v>36600.0</v>
      </c>
      <c r="F402" s="20"/>
      <c r="G402" s="20"/>
    </row>
    <row r="403">
      <c r="A403" s="8" t="s">
        <v>37</v>
      </c>
      <c r="B403" s="12" t="s">
        <v>9</v>
      </c>
      <c r="C403" s="12" t="s">
        <v>93</v>
      </c>
      <c r="D403" s="12">
        <v>3.0</v>
      </c>
      <c r="E403" s="20">
        <v>208333.33333333334</v>
      </c>
      <c r="F403" s="20"/>
      <c r="G403" s="20"/>
    </row>
    <row r="404">
      <c r="A404" s="8" t="s">
        <v>38</v>
      </c>
      <c r="B404" s="12" t="s">
        <v>9</v>
      </c>
      <c r="C404" s="12" t="s">
        <v>93</v>
      </c>
      <c r="D404" s="12">
        <v>3.0</v>
      </c>
      <c r="E404" s="20">
        <v>291666.6666666667</v>
      </c>
      <c r="F404" s="20"/>
      <c r="G404" s="20"/>
    </row>
    <row r="405">
      <c r="A405" s="8" t="s">
        <v>39</v>
      </c>
      <c r="B405" s="12" t="s">
        <v>9</v>
      </c>
      <c r="C405" s="12" t="s">
        <v>93</v>
      </c>
      <c r="D405" s="12">
        <v>3.0</v>
      </c>
      <c r="E405" s="20">
        <v>250000.0</v>
      </c>
      <c r="F405" s="20"/>
      <c r="G405" s="20"/>
    </row>
    <row r="406">
      <c r="A406" s="8" t="s">
        <v>40</v>
      </c>
      <c r="B406" s="12" t="s">
        <v>27</v>
      </c>
      <c r="C406" s="12" t="s">
        <v>93</v>
      </c>
      <c r="D406" s="12">
        <v>3.0</v>
      </c>
      <c r="E406" s="12">
        <f>J406*0.35*(-1)</f>
        <v>0</v>
      </c>
      <c r="F406" s="20"/>
      <c r="G406" s="20"/>
      <c r="J406" s="23">
        <f>E401+E428</f>
        <v>0</v>
      </c>
    </row>
    <row r="407">
      <c r="A407" s="8" t="s">
        <v>41</v>
      </c>
      <c r="B407" s="12" t="s">
        <v>9</v>
      </c>
      <c r="C407" s="12" t="s">
        <v>93</v>
      </c>
      <c r="D407" s="12">
        <v>3.0</v>
      </c>
      <c r="E407" s="12">
        <v>-83333.3333333333</v>
      </c>
      <c r="F407" s="20"/>
      <c r="G407" s="20"/>
    </row>
    <row r="408">
      <c r="A408" s="8" t="s">
        <v>52</v>
      </c>
      <c r="B408" s="12" t="s">
        <v>9</v>
      </c>
      <c r="C408" s="12" t="s">
        <v>93</v>
      </c>
      <c r="D408" s="12">
        <v>3.0</v>
      </c>
      <c r="E408" s="12">
        <v>-33333.3333333333</v>
      </c>
      <c r="F408" s="20"/>
      <c r="G408" s="20"/>
    </row>
    <row r="409">
      <c r="A409" s="8" t="s">
        <v>57</v>
      </c>
      <c r="B409" s="12" t="s">
        <v>9</v>
      </c>
      <c r="C409" s="12" t="s">
        <v>93</v>
      </c>
      <c r="D409" s="12">
        <v>3.0</v>
      </c>
      <c r="E409" s="12">
        <v>-320000.0</v>
      </c>
      <c r="F409" s="20"/>
      <c r="G409" s="20"/>
    </row>
    <row r="410">
      <c r="A410" s="2" t="s">
        <v>7</v>
      </c>
      <c r="B410" s="4" t="s">
        <v>9</v>
      </c>
      <c r="C410" s="4" t="s">
        <v>94</v>
      </c>
      <c r="D410" s="4">
        <v>4.0</v>
      </c>
      <c r="E410" s="83" t="str">
        <f>'Макшанова'!AJ196</f>
        <v/>
      </c>
      <c r="F410" s="95"/>
      <c r="G410" s="95"/>
    </row>
    <row r="411">
      <c r="A411" s="2" t="s">
        <v>32</v>
      </c>
      <c r="B411" s="4" t="s">
        <v>9</v>
      </c>
      <c r="C411" s="4" t="s">
        <v>94</v>
      </c>
      <c r="D411" s="4">
        <v>4.0</v>
      </c>
      <c r="E411" s="86">
        <v>36600.0</v>
      </c>
      <c r="F411" s="95"/>
      <c r="G411" s="95"/>
    </row>
    <row r="412">
      <c r="A412" s="2" t="s">
        <v>37</v>
      </c>
      <c r="B412" s="4" t="s">
        <v>9</v>
      </c>
      <c r="C412" s="4" t="s">
        <v>94</v>
      </c>
      <c r="D412" s="4">
        <v>4.0</v>
      </c>
      <c r="E412" s="86">
        <f>'Бюджет 2026'!S164/12</f>
        <v>0</v>
      </c>
      <c r="F412" s="95"/>
      <c r="G412" s="95"/>
    </row>
    <row r="413">
      <c r="A413" s="2" t="s">
        <v>38</v>
      </c>
      <c r="B413" s="4" t="s">
        <v>9</v>
      </c>
      <c r="C413" s="4" t="s">
        <v>94</v>
      </c>
      <c r="D413" s="4">
        <v>4.0</v>
      </c>
      <c r="E413" s="86">
        <f>'Бюджет 2026'!S165/12</f>
        <v>0</v>
      </c>
      <c r="F413" s="95"/>
      <c r="G413" s="95"/>
    </row>
    <row r="414">
      <c r="A414" s="2" t="s">
        <v>39</v>
      </c>
      <c r="B414" s="4" t="s">
        <v>9</v>
      </c>
      <c r="C414" s="4" t="s">
        <v>94</v>
      </c>
      <c r="D414" s="4">
        <v>4.0</v>
      </c>
      <c r="E414" s="86">
        <v>250000.0</v>
      </c>
      <c r="F414" s="95"/>
      <c r="G414" s="95"/>
    </row>
    <row r="415">
      <c r="A415" s="2" t="s">
        <v>40</v>
      </c>
      <c r="B415" s="4" t="s">
        <v>27</v>
      </c>
      <c r="C415" s="4" t="s">
        <v>94</v>
      </c>
      <c r="D415" s="4">
        <v>4.0</v>
      </c>
      <c r="E415" s="12" t="str">
        <f>J415*0.35*(-1)</f>
        <v>#VALUE!</v>
      </c>
      <c r="F415" s="95"/>
      <c r="G415" s="95"/>
      <c r="J415" s="23" t="str">
        <f>E410+E437</f>
        <v>#VALUE!</v>
      </c>
    </row>
    <row r="416">
      <c r="A416" s="2" t="s">
        <v>41</v>
      </c>
      <c r="B416" s="4" t="s">
        <v>9</v>
      </c>
      <c r="C416" s="4" t="s">
        <v>94</v>
      </c>
      <c r="D416" s="4">
        <v>4.0</v>
      </c>
      <c r="E416" s="83">
        <v>-83333.3333333333</v>
      </c>
      <c r="F416" s="95"/>
      <c r="G416" s="95"/>
    </row>
    <row r="417">
      <c r="A417" s="2" t="s">
        <v>52</v>
      </c>
      <c r="B417" s="4" t="s">
        <v>9</v>
      </c>
      <c r="C417" s="4" t="s">
        <v>94</v>
      </c>
      <c r="D417" s="4">
        <v>4.0</v>
      </c>
      <c r="E417" s="83">
        <v>-33333.3333333333</v>
      </c>
      <c r="F417" s="95"/>
      <c r="G417" s="95"/>
    </row>
    <row r="418">
      <c r="A418" s="2" t="s">
        <v>57</v>
      </c>
      <c r="B418" s="4" t="s">
        <v>9</v>
      </c>
      <c r="C418" s="4" t="s">
        <v>94</v>
      </c>
      <c r="D418" s="4">
        <v>4.0</v>
      </c>
      <c r="E418" s="83">
        <v>-320000.0</v>
      </c>
      <c r="F418" s="95"/>
      <c r="G418" s="95"/>
    </row>
    <row r="419">
      <c r="A419" s="8" t="s">
        <v>7</v>
      </c>
      <c r="B419" s="12" t="s">
        <v>9</v>
      </c>
      <c r="C419" s="12" t="s">
        <v>95</v>
      </c>
      <c r="D419" s="12">
        <v>4.0</v>
      </c>
      <c r="E419" s="12" t="str">
        <f>'Макшанова'!AM177</f>
        <v/>
      </c>
      <c r="F419" s="20"/>
      <c r="G419" s="20"/>
    </row>
    <row r="420">
      <c r="A420" s="8" t="s">
        <v>32</v>
      </c>
      <c r="B420" s="12" t="s">
        <v>9</v>
      </c>
      <c r="C420" s="12" t="s">
        <v>95</v>
      </c>
      <c r="D420" s="12">
        <v>4.0</v>
      </c>
      <c r="E420" s="20">
        <f>36600+6100</f>
        <v>42700</v>
      </c>
      <c r="F420" s="20"/>
      <c r="G420" s="20"/>
    </row>
    <row r="421">
      <c r="A421" s="8" t="s">
        <v>37</v>
      </c>
      <c r="B421" s="12" t="s">
        <v>9</v>
      </c>
      <c r="C421" s="12" t="s">
        <v>95</v>
      </c>
      <c r="D421" s="12">
        <v>4.0</v>
      </c>
      <c r="E421" s="20">
        <f>'Бюджет 2026'!S145/12</f>
        <v>0</v>
      </c>
      <c r="F421" s="20"/>
      <c r="G421" s="20"/>
    </row>
    <row r="422">
      <c r="A422" s="8" t="s">
        <v>38</v>
      </c>
      <c r="B422" s="12" t="s">
        <v>9</v>
      </c>
      <c r="C422" s="12" t="s">
        <v>95</v>
      </c>
      <c r="D422" s="12">
        <v>4.0</v>
      </c>
      <c r="E422" s="20">
        <f>'Бюджет 2026'!S146/12</f>
        <v>0</v>
      </c>
      <c r="F422" s="20"/>
      <c r="G422" s="20"/>
    </row>
    <row r="423">
      <c r="A423" s="8" t="s">
        <v>39</v>
      </c>
      <c r="B423" s="12" t="s">
        <v>9</v>
      </c>
      <c r="C423" s="12" t="s">
        <v>95</v>
      </c>
      <c r="D423" s="12">
        <v>4.0</v>
      </c>
      <c r="E423" s="20">
        <v>250000.0</v>
      </c>
      <c r="F423" s="20"/>
      <c r="G423" s="20"/>
    </row>
    <row r="424">
      <c r="A424" s="8" t="s">
        <v>40</v>
      </c>
      <c r="B424" s="12" t="s">
        <v>27</v>
      </c>
      <c r="C424" s="12" t="s">
        <v>95</v>
      </c>
      <c r="D424" s="12">
        <v>4.0</v>
      </c>
      <c r="E424" s="12">
        <f>J424*0.35*(-1)</f>
        <v>112000</v>
      </c>
      <c r="F424" s="20"/>
      <c r="G424" s="20"/>
      <c r="J424" s="23">
        <f>E419+E446</f>
        <v>-320000</v>
      </c>
    </row>
    <row r="425">
      <c r="A425" s="8" t="s">
        <v>41</v>
      </c>
      <c r="B425" s="12" t="s">
        <v>9</v>
      </c>
      <c r="C425" s="12" t="s">
        <v>95</v>
      </c>
      <c r="D425" s="12">
        <v>4.0</v>
      </c>
      <c r="E425" s="12">
        <v>-83333.3333333333</v>
      </c>
      <c r="F425" s="20"/>
      <c r="G425" s="20"/>
    </row>
    <row r="426">
      <c r="A426" s="8" t="s">
        <v>52</v>
      </c>
      <c r="B426" s="12" t="s">
        <v>9</v>
      </c>
      <c r="C426" s="12" t="s">
        <v>95</v>
      </c>
      <c r="D426" s="12">
        <v>4.0</v>
      </c>
      <c r="E426" s="12">
        <v>-33333.3333333333</v>
      </c>
      <c r="F426" s="20"/>
      <c r="G426" s="20"/>
    </row>
    <row r="427">
      <c r="A427" s="8" t="s">
        <v>57</v>
      </c>
      <c r="B427" s="12" t="s">
        <v>9</v>
      </c>
      <c r="C427" s="12" t="s">
        <v>95</v>
      </c>
      <c r="D427" s="12">
        <v>4.0</v>
      </c>
      <c r="E427" s="12">
        <v>-320000.0</v>
      </c>
      <c r="F427" s="20"/>
      <c r="G427" s="20"/>
    </row>
    <row r="428">
      <c r="A428" s="82" t="s">
        <v>7</v>
      </c>
      <c r="B428" s="4" t="s">
        <v>9</v>
      </c>
      <c r="C428" s="4" t="s">
        <v>96</v>
      </c>
      <c r="D428" s="4">
        <v>4.0</v>
      </c>
      <c r="E428" s="83" t="str">
        <f>'Макшанова'!AP158</f>
        <v/>
      </c>
      <c r="F428" s="95"/>
      <c r="G428" s="95"/>
    </row>
    <row r="429">
      <c r="A429" s="2" t="s">
        <v>32</v>
      </c>
      <c r="B429" s="4" t="s">
        <v>9</v>
      </c>
      <c r="C429" s="4" t="s">
        <v>96</v>
      </c>
      <c r="D429" s="4">
        <v>4.0</v>
      </c>
      <c r="E429" s="86">
        <f>36600+6100</f>
        <v>42700</v>
      </c>
      <c r="F429" s="95"/>
      <c r="G429" s="95"/>
    </row>
    <row r="430">
      <c r="A430" s="2" t="s">
        <v>37</v>
      </c>
      <c r="B430" s="4" t="s">
        <v>9</v>
      </c>
      <c r="C430" s="4" t="s">
        <v>96</v>
      </c>
      <c r="D430" s="4">
        <v>4.0</v>
      </c>
      <c r="E430" s="86">
        <f>'Бюджет 2026'!S126/12</f>
        <v>0</v>
      </c>
      <c r="F430" s="95"/>
      <c r="G430" s="95"/>
    </row>
    <row r="431">
      <c r="A431" s="82" t="s">
        <v>38</v>
      </c>
      <c r="B431" s="4" t="s">
        <v>9</v>
      </c>
      <c r="C431" s="4" t="s">
        <v>96</v>
      </c>
      <c r="D431" s="4">
        <v>4.0</v>
      </c>
      <c r="E431" s="86">
        <f>'Бюджет 2026'!S127/12</f>
        <v>0</v>
      </c>
      <c r="F431" s="95"/>
      <c r="G431" s="95"/>
    </row>
    <row r="432">
      <c r="A432" s="82" t="s">
        <v>39</v>
      </c>
      <c r="B432" s="4" t="s">
        <v>9</v>
      </c>
      <c r="C432" s="4" t="s">
        <v>96</v>
      </c>
      <c r="D432" s="4">
        <v>4.0</v>
      </c>
      <c r="E432" s="86">
        <v>250000.0</v>
      </c>
      <c r="F432" s="95"/>
      <c r="G432" s="95"/>
    </row>
    <row r="433">
      <c r="A433" s="82" t="s">
        <v>40</v>
      </c>
      <c r="B433" s="4" t="s">
        <v>27</v>
      </c>
      <c r="C433" s="4" t="s">
        <v>96</v>
      </c>
      <c r="D433" s="4">
        <v>4.0</v>
      </c>
      <c r="E433" s="12">
        <f>J433*0.35*(-1)</f>
        <v>112000</v>
      </c>
      <c r="F433" s="95"/>
      <c r="G433" s="95"/>
      <c r="J433" s="23">
        <f>E428+E455</f>
        <v>-320000</v>
      </c>
    </row>
    <row r="434">
      <c r="A434" s="82" t="s">
        <v>41</v>
      </c>
      <c r="B434" s="4" t="s">
        <v>9</v>
      </c>
      <c r="C434" s="4" t="s">
        <v>96</v>
      </c>
      <c r="D434" s="4">
        <v>4.0</v>
      </c>
      <c r="E434" s="83">
        <v>-83333.3333333333</v>
      </c>
      <c r="F434" s="95"/>
      <c r="G434" s="95"/>
    </row>
    <row r="435">
      <c r="A435" s="2" t="s">
        <v>52</v>
      </c>
      <c r="B435" s="4" t="s">
        <v>9</v>
      </c>
      <c r="C435" s="4" t="s">
        <v>96</v>
      </c>
      <c r="D435" s="4">
        <v>4.0</v>
      </c>
      <c r="E435" s="83">
        <v>-33333.3333333333</v>
      </c>
      <c r="F435" s="95"/>
      <c r="G435" s="95"/>
    </row>
    <row r="436">
      <c r="A436" s="2" t="s">
        <v>57</v>
      </c>
      <c r="B436" s="4" t="s">
        <v>9</v>
      </c>
      <c r="C436" s="4" t="s">
        <v>96</v>
      </c>
      <c r="D436" s="4">
        <v>4.0</v>
      </c>
      <c r="E436" s="83">
        <v>-320000.0</v>
      </c>
      <c r="F436" s="95"/>
      <c r="G436" s="95"/>
    </row>
    <row r="437">
      <c r="A437" s="2">
        <v>0.0</v>
      </c>
      <c r="B437" s="4" t="s">
        <v>0</v>
      </c>
      <c r="C437" s="4" t="s">
        <v>2</v>
      </c>
      <c r="D437" s="4" t="s">
        <v>3</v>
      </c>
      <c r="E437" s="4" t="s">
        <v>4</v>
      </c>
      <c r="F437" s="4" t="s">
        <v>5</v>
      </c>
      <c r="G437" s="4" t="s">
        <v>6</v>
      </c>
    </row>
    <row r="438">
      <c r="A438" s="8" t="s">
        <v>7</v>
      </c>
      <c r="B438" s="12" t="s">
        <v>9</v>
      </c>
      <c r="C438" s="12" t="s">
        <v>10</v>
      </c>
      <c r="D438" s="12">
        <v>1.0</v>
      </c>
      <c r="E438" s="20" t="str">
        <f>'Макшанова'!H476</f>
        <v/>
      </c>
      <c r="F438" s="20"/>
      <c r="G438" s="20"/>
    </row>
    <row r="439">
      <c r="A439" s="8" t="s">
        <v>32</v>
      </c>
      <c r="B439" s="12" t="s">
        <v>9</v>
      </c>
      <c r="C439" s="12" t="s">
        <v>10</v>
      </c>
      <c r="D439" s="12">
        <v>1.0</v>
      </c>
      <c r="E439" s="20">
        <f>6100*4</f>
        <v>24400</v>
      </c>
      <c r="F439" s="20"/>
      <c r="G439" s="20"/>
    </row>
    <row r="440">
      <c r="A440" s="8" t="s">
        <v>37</v>
      </c>
      <c r="B440" s="12" t="s">
        <v>9</v>
      </c>
      <c r="C440" s="12" t="s">
        <v>10</v>
      </c>
      <c r="D440" s="12">
        <v>1.0</v>
      </c>
      <c r="E440" s="12">
        <f>'Бюджет 2026'!S444/12</f>
        <v>0</v>
      </c>
      <c r="F440" s="20"/>
      <c r="G440" s="20"/>
    </row>
    <row r="441">
      <c r="A441" s="8" t="s">
        <v>38</v>
      </c>
      <c r="B441" s="12" t="s">
        <v>9</v>
      </c>
      <c r="C441" s="12" t="s">
        <v>10</v>
      </c>
      <c r="D441" s="12">
        <v>1.0</v>
      </c>
      <c r="E441" s="20">
        <f>'Бюджет 2026'!S445/12</f>
        <v>0</v>
      </c>
      <c r="F441" s="20"/>
      <c r="G441" s="20"/>
    </row>
    <row r="442">
      <c r="A442" s="8" t="s">
        <v>39</v>
      </c>
      <c r="B442" s="12" t="s">
        <v>9</v>
      </c>
      <c r="C442" s="12" t="s">
        <v>10</v>
      </c>
      <c r="D442" s="12">
        <v>1.0</v>
      </c>
      <c r="E442" s="20">
        <f>59000*2</f>
        <v>118000</v>
      </c>
      <c r="F442" s="20"/>
      <c r="G442" s="20"/>
    </row>
    <row r="443">
      <c r="A443" s="8" t="s">
        <v>40</v>
      </c>
      <c r="B443" s="12" t="s">
        <v>27</v>
      </c>
      <c r="C443" s="12" t="s">
        <v>10</v>
      </c>
      <c r="D443" s="12">
        <v>1.0</v>
      </c>
      <c r="E443" s="12">
        <f>J443*0.35*(-1)</f>
        <v>0</v>
      </c>
      <c r="F443" s="20"/>
      <c r="G443" s="20"/>
      <c r="J443" s="23">
        <f>E438+E465</f>
        <v>0</v>
      </c>
    </row>
    <row r="444">
      <c r="A444" s="8" t="s">
        <v>41</v>
      </c>
      <c r="B444" s="12" t="s">
        <v>9</v>
      </c>
      <c r="C444" s="12" t="s">
        <v>10</v>
      </c>
      <c r="D444" s="12">
        <v>1.0</v>
      </c>
      <c r="E444" s="20"/>
      <c r="F444" s="20"/>
      <c r="G444" s="20"/>
    </row>
    <row r="445">
      <c r="A445" s="8" t="s">
        <v>52</v>
      </c>
      <c r="B445" s="12" t="s">
        <v>9</v>
      </c>
      <c r="C445" s="12" t="s">
        <v>10</v>
      </c>
      <c r="D445" s="12">
        <v>1.0</v>
      </c>
      <c r="E445" s="12">
        <v>-20000.0</v>
      </c>
      <c r="F445" s="20"/>
      <c r="G445" s="20"/>
    </row>
    <row r="446">
      <c r="A446" s="8" t="s">
        <v>57</v>
      </c>
      <c r="B446" s="12" t="s">
        <v>9</v>
      </c>
      <c r="C446" s="12" t="s">
        <v>10</v>
      </c>
      <c r="D446" s="12">
        <v>1.0</v>
      </c>
      <c r="E446" s="12">
        <v>-320000.0</v>
      </c>
      <c r="F446" s="20"/>
      <c r="G446" s="20"/>
    </row>
    <row r="447">
      <c r="A447" s="2" t="s">
        <v>7</v>
      </c>
      <c r="B447" s="4" t="s">
        <v>9</v>
      </c>
      <c r="C447" s="4" t="s">
        <v>76</v>
      </c>
      <c r="D447" s="4">
        <v>1.0</v>
      </c>
      <c r="E447" s="4" t="str">
        <f>'Макшанова'!L457</f>
        <v/>
      </c>
      <c r="F447" s="95"/>
      <c r="G447" s="95"/>
    </row>
    <row r="448">
      <c r="A448" s="2" t="s">
        <v>32</v>
      </c>
      <c r="B448" s="4" t="s">
        <v>9</v>
      </c>
      <c r="C448" s="4" t="s">
        <v>76</v>
      </c>
      <c r="D448" s="4">
        <v>1.0</v>
      </c>
      <c r="E448" s="4">
        <v>30500.0</v>
      </c>
      <c r="F448" s="95"/>
      <c r="G448" s="95"/>
    </row>
    <row r="449">
      <c r="A449" s="2" t="s">
        <v>37</v>
      </c>
      <c r="B449" s="4" t="s">
        <v>9</v>
      </c>
      <c r="C449" s="4" t="s">
        <v>76</v>
      </c>
      <c r="D449" s="4">
        <v>1.0</v>
      </c>
      <c r="E449" s="95">
        <f>'Бюджет 2026'!S425/12</f>
        <v>0</v>
      </c>
      <c r="F449" s="95"/>
      <c r="G449" s="95"/>
    </row>
    <row r="450">
      <c r="A450" s="2" t="s">
        <v>38</v>
      </c>
      <c r="B450" s="4" t="s">
        <v>9</v>
      </c>
      <c r="C450" s="4" t="s">
        <v>76</v>
      </c>
      <c r="D450" s="4">
        <v>1.0</v>
      </c>
      <c r="E450" s="95">
        <f>'Бюджет 2026'!S426/12</f>
        <v>0</v>
      </c>
      <c r="F450" s="95"/>
      <c r="G450" s="95"/>
    </row>
    <row r="451">
      <c r="A451" s="2" t="s">
        <v>39</v>
      </c>
      <c r="B451" s="4" t="s">
        <v>9</v>
      </c>
      <c r="C451" s="4" t="s">
        <v>76</v>
      </c>
      <c r="D451" s="4">
        <v>1.0</v>
      </c>
      <c r="E451" s="95">
        <f>59000*3</f>
        <v>177000</v>
      </c>
      <c r="F451" s="95"/>
      <c r="G451" s="95"/>
    </row>
    <row r="452">
      <c r="A452" s="2" t="s">
        <v>40</v>
      </c>
      <c r="B452" s="4" t="s">
        <v>27</v>
      </c>
      <c r="C452" s="4" t="s">
        <v>76</v>
      </c>
      <c r="D452" s="4">
        <v>1.0</v>
      </c>
      <c r="E452" s="12">
        <f>J452*0.35*(-1)</f>
        <v>0</v>
      </c>
      <c r="F452" s="95"/>
      <c r="G452" s="95"/>
      <c r="J452" s="23">
        <f>E447+E474</f>
        <v>0</v>
      </c>
    </row>
    <row r="453">
      <c r="A453" s="2" t="s">
        <v>41</v>
      </c>
      <c r="B453" s="4" t="s">
        <v>9</v>
      </c>
      <c r="C453" s="4" t="s">
        <v>76</v>
      </c>
      <c r="D453" s="4">
        <v>1.0</v>
      </c>
      <c r="E453" s="4">
        <v>-113636.363636364</v>
      </c>
      <c r="F453" s="95"/>
      <c r="G453" s="95"/>
    </row>
    <row r="454">
      <c r="A454" s="2" t="s">
        <v>52</v>
      </c>
      <c r="B454" s="4" t="s">
        <v>9</v>
      </c>
      <c r="C454" s="4" t="s">
        <v>76</v>
      </c>
      <c r="D454" s="4">
        <v>1.0</v>
      </c>
      <c r="E454" s="83">
        <v>-33333.3333333333</v>
      </c>
      <c r="F454" s="95"/>
      <c r="G454" s="95"/>
    </row>
    <row r="455">
      <c r="A455" s="2" t="s">
        <v>57</v>
      </c>
      <c r="B455" s="4" t="s">
        <v>9</v>
      </c>
      <c r="C455" s="4" t="s">
        <v>76</v>
      </c>
      <c r="D455" s="4">
        <v>1.0</v>
      </c>
      <c r="E455" s="83">
        <v>-320000.0</v>
      </c>
      <c r="F455" s="95"/>
      <c r="G455" s="95"/>
    </row>
    <row r="456">
      <c r="A456" s="8" t="s">
        <v>7</v>
      </c>
      <c r="B456" s="12" t="s">
        <v>9</v>
      </c>
      <c r="C456" s="12" t="s">
        <v>88</v>
      </c>
      <c r="D456" s="12">
        <v>1.0</v>
      </c>
      <c r="E456" s="20" t="str">
        <f>'Макшанова'!O438</f>
        <v/>
      </c>
      <c r="F456" s="20"/>
      <c r="G456" s="20"/>
    </row>
    <row r="457">
      <c r="A457" s="8" t="s">
        <v>32</v>
      </c>
      <c r="B457" s="12" t="s">
        <v>9</v>
      </c>
      <c r="C457" s="12" t="s">
        <v>88</v>
      </c>
      <c r="D457" s="12">
        <v>1.0</v>
      </c>
      <c r="E457" s="12">
        <f>30500+6100</f>
        <v>36600</v>
      </c>
      <c r="F457" s="20"/>
      <c r="G457" s="20"/>
    </row>
    <row r="458">
      <c r="A458" s="8" t="s">
        <v>37</v>
      </c>
      <c r="B458" s="12" t="s">
        <v>9</v>
      </c>
      <c r="C458" s="12" t="s">
        <v>88</v>
      </c>
      <c r="D458" s="12">
        <v>1.0</v>
      </c>
      <c r="E458" s="20">
        <f>'Бюджет 2026'!S406/12</f>
        <v>0</v>
      </c>
      <c r="F458" s="20"/>
      <c r="G458" s="20"/>
    </row>
    <row r="459">
      <c r="A459" s="8" t="s">
        <v>38</v>
      </c>
      <c r="B459" s="12" t="s">
        <v>9</v>
      </c>
      <c r="C459" s="12" t="s">
        <v>88</v>
      </c>
      <c r="D459" s="12">
        <v>1.0</v>
      </c>
      <c r="E459" s="20">
        <f>'Бюджет 2026'!S407/12</f>
        <v>0</v>
      </c>
      <c r="F459" s="20"/>
      <c r="G459" s="20"/>
    </row>
    <row r="460">
      <c r="A460" s="8" t="s">
        <v>39</v>
      </c>
      <c r="B460" s="12" t="s">
        <v>9</v>
      </c>
      <c r="C460" s="12" t="s">
        <v>88</v>
      </c>
      <c r="D460" s="12">
        <v>1.0</v>
      </c>
      <c r="E460" s="20">
        <f>'Бюджет 2026'!S408/12</f>
        <v>0</v>
      </c>
      <c r="F460" s="20"/>
      <c r="G460" s="20"/>
    </row>
    <row r="461">
      <c r="A461" s="8" t="s">
        <v>40</v>
      </c>
      <c r="B461" s="12" t="s">
        <v>27</v>
      </c>
      <c r="C461" s="12" t="s">
        <v>88</v>
      </c>
      <c r="D461" s="12">
        <v>1.0</v>
      </c>
      <c r="E461" s="12">
        <f>J461*0.35*(-1)</f>
        <v>0</v>
      </c>
      <c r="F461" s="20"/>
      <c r="G461" s="20"/>
      <c r="J461" s="23">
        <f>E456+E483</f>
        <v>0</v>
      </c>
    </row>
    <row r="462">
      <c r="A462" s="8" t="s">
        <v>41</v>
      </c>
      <c r="B462" s="12" t="s">
        <v>9</v>
      </c>
      <c r="C462" s="12" t="s">
        <v>88</v>
      </c>
      <c r="D462" s="12">
        <v>1.0</v>
      </c>
      <c r="E462" s="12">
        <v>-227272.727272727</v>
      </c>
      <c r="F462" s="20"/>
      <c r="G462" s="20"/>
    </row>
    <row r="463">
      <c r="A463" s="8" t="s">
        <v>52</v>
      </c>
      <c r="B463" s="12" t="s">
        <v>9</v>
      </c>
      <c r="C463" s="12" t="s">
        <v>88</v>
      </c>
      <c r="D463" s="12">
        <v>1.0</v>
      </c>
      <c r="E463" s="12">
        <v>-33333.3333333333</v>
      </c>
      <c r="F463" s="20"/>
      <c r="G463" s="20"/>
    </row>
    <row r="464">
      <c r="A464" s="8" t="s">
        <v>57</v>
      </c>
      <c r="B464" s="12" t="s">
        <v>9</v>
      </c>
      <c r="C464" s="12" t="s">
        <v>88</v>
      </c>
      <c r="D464" s="12">
        <v>1.0</v>
      </c>
      <c r="E464" s="12">
        <v>-320000.0</v>
      </c>
      <c r="F464" s="20"/>
      <c r="G464" s="20"/>
    </row>
    <row r="465">
      <c r="A465" s="2" t="s">
        <v>7</v>
      </c>
      <c r="B465" s="4" t="s">
        <v>9</v>
      </c>
      <c r="C465" s="4" t="s">
        <v>89</v>
      </c>
      <c r="D465" s="4">
        <v>2.0</v>
      </c>
      <c r="E465" s="86" t="str">
        <f>'Макшанова'!R419</f>
        <v/>
      </c>
      <c r="F465" s="95"/>
      <c r="G465" s="95"/>
    </row>
    <row r="466">
      <c r="A466" s="2" t="s">
        <v>32</v>
      </c>
      <c r="B466" s="4" t="s">
        <v>9</v>
      </c>
      <c r="C466" s="4" t="s">
        <v>89</v>
      </c>
      <c r="D466" s="4">
        <v>2.0</v>
      </c>
      <c r="E466" s="83">
        <f>30500+6100</f>
        <v>36600</v>
      </c>
      <c r="F466" s="95"/>
      <c r="G466" s="95"/>
    </row>
    <row r="467">
      <c r="A467" s="2" t="s">
        <v>37</v>
      </c>
      <c r="B467" s="4" t="s">
        <v>9</v>
      </c>
      <c r="C467" s="4" t="s">
        <v>89</v>
      </c>
      <c r="D467" s="4">
        <v>2.0</v>
      </c>
      <c r="E467" s="86">
        <f>'Бюджет 2026'!S387/12</f>
        <v>0</v>
      </c>
      <c r="F467" s="95"/>
      <c r="G467" s="95"/>
    </row>
    <row r="468">
      <c r="A468" s="2" t="s">
        <v>38</v>
      </c>
      <c r="B468" s="4" t="s">
        <v>9</v>
      </c>
      <c r="C468" s="4" t="s">
        <v>89</v>
      </c>
      <c r="D468" s="4">
        <v>2.0</v>
      </c>
      <c r="E468" s="86">
        <f>'Бюджет 2026'!S388/12</f>
        <v>0</v>
      </c>
      <c r="F468" s="95"/>
      <c r="G468" s="95"/>
    </row>
    <row r="469">
      <c r="A469" s="2" t="s">
        <v>39</v>
      </c>
      <c r="B469" s="4" t="s">
        <v>9</v>
      </c>
      <c r="C469" s="4" t="s">
        <v>89</v>
      </c>
      <c r="D469" s="4">
        <v>2.0</v>
      </c>
      <c r="E469" s="86">
        <f>'Бюджет 2026'!S416/12</f>
        <v>0</v>
      </c>
      <c r="F469" s="95"/>
      <c r="G469" s="95"/>
    </row>
    <row r="470">
      <c r="A470" s="2" t="s">
        <v>40</v>
      </c>
      <c r="B470" s="4" t="s">
        <v>27</v>
      </c>
      <c r="C470" s="4" t="s">
        <v>89</v>
      </c>
      <c r="D470" s="4">
        <v>2.0</v>
      </c>
      <c r="E470" s="12">
        <f>J470*0.35*(-1)</f>
        <v>0</v>
      </c>
      <c r="F470" s="95"/>
      <c r="G470" s="95"/>
      <c r="J470" s="23">
        <f>E465+E492</f>
        <v>0</v>
      </c>
    </row>
    <row r="471">
      <c r="A471" s="2" t="s">
        <v>41</v>
      </c>
      <c r="B471" s="4" t="s">
        <v>9</v>
      </c>
      <c r="C471" s="4" t="s">
        <v>89</v>
      </c>
      <c r="D471" s="4">
        <v>2.0</v>
      </c>
      <c r="E471" s="83">
        <v>-170181.818181818</v>
      </c>
      <c r="F471" s="95"/>
      <c r="G471" s="95"/>
    </row>
    <row r="472">
      <c r="A472" s="2" t="s">
        <v>52</v>
      </c>
      <c r="B472" s="4" t="s">
        <v>9</v>
      </c>
      <c r="C472" s="4" t="s">
        <v>89</v>
      </c>
      <c r="D472" s="4">
        <v>2.0</v>
      </c>
      <c r="E472" s="83">
        <v>-33333.3333333333</v>
      </c>
      <c r="F472" s="95"/>
      <c r="G472" s="95"/>
    </row>
    <row r="473">
      <c r="A473" s="2" t="s">
        <v>57</v>
      </c>
      <c r="B473" s="4" t="s">
        <v>9</v>
      </c>
      <c r="C473" s="4" t="s">
        <v>89</v>
      </c>
      <c r="D473" s="4">
        <v>2.0</v>
      </c>
      <c r="E473" s="83">
        <v>-320000.0</v>
      </c>
      <c r="F473" s="95"/>
      <c r="G473" s="95"/>
    </row>
    <row r="474">
      <c r="A474" s="8" t="s">
        <v>7</v>
      </c>
      <c r="B474" s="12" t="s">
        <v>9</v>
      </c>
      <c r="C474" s="12" t="s">
        <v>28</v>
      </c>
      <c r="D474" s="12">
        <v>2.0</v>
      </c>
      <c r="E474" s="20" t="str">
        <f>'Макшанова'!R400</f>
        <v/>
      </c>
      <c r="F474" s="20"/>
      <c r="G474" s="20"/>
    </row>
    <row r="475">
      <c r="A475" s="8" t="s">
        <v>32</v>
      </c>
      <c r="B475" s="12" t="s">
        <v>9</v>
      </c>
      <c r="C475" s="12" t="s">
        <v>28</v>
      </c>
      <c r="D475" s="12">
        <v>2.0</v>
      </c>
      <c r="E475" s="12">
        <v>36600.0</v>
      </c>
      <c r="F475" s="20"/>
      <c r="G475" s="20"/>
    </row>
    <row r="476">
      <c r="A476" s="8" t="s">
        <v>37</v>
      </c>
      <c r="B476" s="12" t="s">
        <v>9</v>
      </c>
      <c r="C476" s="12" t="s">
        <v>28</v>
      </c>
      <c r="D476" s="12">
        <v>2.0</v>
      </c>
      <c r="E476" s="20">
        <f>'Бюджет 2026'!S368/12</f>
        <v>0</v>
      </c>
      <c r="F476" s="20"/>
      <c r="G476" s="20"/>
    </row>
    <row r="477">
      <c r="A477" s="8" t="s">
        <v>38</v>
      </c>
      <c r="B477" s="12" t="s">
        <v>9</v>
      </c>
      <c r="C477" s="12" t="s">
        <v>28</v>
      </c>
      <c r="D477" s="12">
        <v>2.0</v>
      </c>
      <c r="E477" s="20">
        <f>'Бюджет 2026'!S369/12</f>
        <v>0</v>
      </c>
      <c r="F477" s="20"/>
      <c r="G477" s="20"/>
    </row>
    <row r="478">
      <c r="A478" s="8" t="s">
        <v>39</v>
      </c>
      <c r="B478" s="12" t="s">
        <v>9</v>
      </c>
      <c r="C478" s="12" t="s">
        <v>28</v>
      </c>
      <c r="D478" s="12">
        <v>2.0</v>
      </c>
      <c r="E478" s="20">
        <f>'Бюджет 2026'!S370/12</f>
        <v>0</v>
      </c>
      <c r="F478" s="20"/>
      <c r="G478" s="20"/>
    </row>
    <row r="479">
      <c r="A479" s="8" t="s">
        <v>40</v>
      </c>
      <c r="B479" s="12" t="s">
        <v>27</v>
      </c>
      <c r="C479" s="12" t="s">
        <v>28</v>
      </c>
      <c r="D479" s="12">
        <v>2.0</v>
      </c>
      <c r="E479" s="12">
        <f>J479*0.35*(-1)</f>
        <v>0</v>
      </c>
      <c r="F479" s="20"/>
      <c r="G479" s="20"/>
      <c r="J479" s="23">
        <f>E474+E501</f>
        <v>0</v>
      </c>
    </row>
    <row r="480">
      <c r="A480" s="8" t="s">
        <v>41</v>
      </c>
      <c r="B480" s="12" t="s">
        <v>9</v>
      </c>
      <c r="C480" s="12" t="s">
        <v>28</v>
      </c>
      <c r="D480" s="12">
        <v>2.0</v>
      </c>
      <c r="E480" s="12">
        <v>-104166.666666667</v>
      </c>
      <c r="F480" s="20"/>
      <c r="G480" s="20"/>
    </row>
    <row r="481">
      <c r="A481" s="8" t="s">
        <v>52</v>
      </c>
      <c r="B481" s="12" t="s">
        <v>9</v>
      </c>
      <c r="C481" s="12" t="s">
        <v>28</v>
      </c>
      <c r="D481" s="12">
        <v>2.0</v>
      </c>
      <c r="E481" s="12">
        <v>-33333.3333333333</v>
      </c>
      <c r="F481" s="20"/>
      <c r="G481" s="20"/>
    </row>
    <row r="482">
      <c r="A482" s="8" t="s">
        <v>57</v>
      </c>
      <c r="B482" s="12" t="s">
        <v>9</v>
      </c>
      <c r="C482" s="12" t="s">
        <v>28</v>
      </c>
      <c r="D482" s="12">
        <v>2.0</v>
      </c>
      <c r="E482" s="12">
        <v>-320000.0</v>
      </c>
      <c r="F482" s="20"/>
      <c r="G482" s="20"/>
    </row>
    <row r="483">
      <c r="A483" s="82" t="s">
        <v>7</v>
      </c>
      <c r="B483" s="83" t="s">
        <v>9</v>
      </c>
      <c r="C483" s="83" t="s">
        <v>90</v>
      </c>
      <c r="D483" s="83">
        <v>2.0</v>
      </c>
      <c r="E483" s="83" t="str">
        <f>'Макшанова'!X381</f>
        <v/>
      </c>
      <c r="F483" s="86"/>
      <c r="G483" s="86"/>
    </row>
    <row r="484">
      <c r="A484" s="82" t="s">
        <v>32</v>
      </c>
      <c r="B484" s="83" t="s">
        <v>9</v>
      </c>
      <c r="C484" s="83" t="s">
        <v>90</v>
      </c>
      <c r="D484" s="83">
        <v>2.0</v>
      </c>
      <c r="E484" s="86" t="str">
        <f>E428</f>
        <v/>
      </c>
      <c r="F484" s="86"/>
      <c r="G484" s="86"/>
    </row>
    <row r="485">
      <c r="A485" s="82" t="s">
        <v>37</v>
      </c>
      <c r="B485" s="83" t="s">
        <v>9</v>
      </c>
      <c r="C485" s="83" t="s">
        <v>90</v>
      </c>
      <c r="D485" s="83">
        <v>2.0</v>
      </c>
      <c r="E485" s="86">
        <v>208333.33333333334</v>
      </c>
      <c r="F485" s="86"/>
      <c r="G485" s="86"/>
    </row>
    <row r="486">
      <c r="A486" s="82" t="s">
        <v>38</v>
      </c>
      <c r="B486" s="83" t="s">
        <v>9</v>
      </c>
      <c r="C486" s="83" t="s">
        <v>90</v>
      </c>
      <c r="D486" s="83">
        <v>2.0</v>
      </c>
      <c r="E486" s="86">
        <v>291666.6666666667</v>
      </c>
      <c r="F486" s="86"/>
      <c r="G486" s="86"/>
    </row>
    <row r="487">
      <c r="A487" s="82" t="s">
        <v>39</v>
      </c>
      <c r="B487" s="83" t="s">
        <v>9</v>
      </c>
      <c r="C487" s="83" t="s">
        <v>90</v>
      </c>
      <c r="D487" s="83">
        <v>2.0</v>
      </c>
      <c r="E487" s="86">
        <f>E459</f>
        <v>0</v>
      </c>
      <c r="F487" s="86"/>
      <c r="G487" s="86"/>
    </row>
    <row r="488">
      <c r="A488" s="82" t="s">
        <v>40</v>
      </c>
      <c r="B488" s="83" t="s">
        <v>27</v>
      </c>
      <c r="C488" s="83" t="s">
        <v>90</v>
      </c>
      <c r="D488" s="83">
        <v>2.0</v>
      </c>
      <c r="E488" s="12">
        <f>J488*0.35*(-1)</f>
        <v>0</v>
      </c>
      <c r="F488" s="86"/>
      <c r="G488" s="86"/>
      <c r="J488" s="23">
        <f>E483+E510</f>
        <v>0</v>
      </c>
    </row>
    <row r="489">
      <c r="A489" s="82" t="s">
        <v>41</v>
      </c>
      <c r="B489" s="83" t="s">
        <v>9</v>
      </c>
      <c r="C489" s="83" t="s">
        <v>90</v>
      </c>
      <c r="D489" s="83">
        <v>2.0</v>
      </c>
      <c r="E489" s="83">
        <v>-83333.3333333333</v>
      </c>
      <c r="F489" s="86"/>
      <c r="G489" s="86"/>
    </row>
    <row r="490">
      <c r="A490" s="82" t="s">
        <v>52</v>
      </c>
      <c r="B490" s="83" t="s">
        <v>9</v>
      </c>
      <c r="C490" s="83" t="s">
        <v>90</v>
      </c>
      <c r="D490" s="83">
        <v>2.0</v>
      </c>
      <c r="E490" s="83">
        <v>-33333.3333333333</v>
      </c>
      <c r="F490" s="86"/>
      <c r="G490" s="86"/>
    </row>
    <row r="491">
      <c r="A491" s="82" t="s">
        <v>57</v>
      </c>
      <c r="B491" s="83" t="s">
        <v>9</v>
      </c>
      <c r="C491" s="83" t="s">
        <v>90</v>
      </c>
      <c r="D491" s="83">
        <v>2.0</v>
      </c>
      <c r="E491" s="83">
        <v>-320000.0</v>
      </c>
      <c r="F491" s="86"/>
      <c r="G491" s="86"/>
    </row>
    <row r="492">
      <c r="A492" s="8" t="s">
        <v>7</v>
      </c>
      <c r="B492" s="12" t="s">
        <v>9</v>
      </c>
      <c r="C492" s="12" t="s">
        <v>91</v>
      </c>
      <c r="D492" s="12">
        <v>3.0</v>
      </c>
      <c r="E492" s="12" t="str">
        <f>'Макшанова'!AA362</f>
        <v/>
      </c>
      <c r="F492" s="20"/>
      <c r="G492" s="20"/>
    </row>
    <row r="493">
      <c r="A493" s="8" t="s">
        <v>32</v>
      </c>
      <c r="B493" s="12" t="s">
        <v>9</v>
      </c>
      <c r="C493" s="12" t="s">
        <v>91</v>
      </c>
      <c r="D493" s="12">
        <v>3.0</v>
      </c>
      <c r="E493" s="20">
        <f>36600+3500</f>
        <v>40100</v>
      </c>
      <c r="F493" s="20"/>
      <c r="G493" s="20"/>
    </row>
    <row r="494">
      <c r="A494" s="8" t="s">
        <v>37</v>
      </c>
      <c r="B494" s="12" t="s">
        <v>9</v>
      </c>
      <c r="C494" s="12" t="s">
        <v>91</v>
      </c>
      <c r="D494" s="12">
        <v>3.0</v>
      </c>
      <c r="E494" s="20">
        <f>'Бюджет 2026'!S330/12</f>
        <v>0</v>
      </c>
      <c r="F494" s="20"/>
      <c r="G494" s="20"/>
    </row>
    <row r="495">
      <c r="A495" s="8" t="s">
        <v>38</v>
      </c>
      <c r="B495" s="12" t="s">
        <v>9</v>
      </c>
      <c r="C495" s="12" t="s">
        <v>91</v>
      </c>
      <c r="D495" s="12">
        <v>3.0</v>
      </c>
      <c r="E495" s="20">
        <v>291666.6666666667</v>
      </c>
      <c r="F495" s="20"/>
      <c r="G495" s="20"/>
    </row>
    <row r="496">
      <c r="A496" s="8" t="s">
        <v>39</v>
      </c>
      <c r="B496" s="12" t="s">
        <v>9</v>
      </c>
      <c r="C496" s="12" t="s">
        <v>91</v>
      </c>
      <c r="D496" s="12">
        <v>3.0</v>
      </c>
      <c r="E496" s="20">
        <v>250000.0</v>
      </c>
      <c r="F496" s="20"/>
      <c r="G496" s="20"/>
    </row>
    <row r="497">
      <c r="A497" s="8" t="s">
        <v>40</v>
      </c>
      <c r="B497" s="12" t="s">
        <v>27</v>
      </c>
      <c r="C497" s="12" t="s">
        <v>91</v>
      </c>
      <c r="D497" s="12">
        <v>3.0</v>
      </c>
      <c r="E497" s="12">
        <f>J497*0.35*(-1)</f>
        <v>0</v>
      </c>
      <c r="F497" s="20"/>
      <c r="G497" s="20"/>
      <c r="J497" s="23">
        <f>E492+E519</f>
        <v>0</v>
      </c>
    </row>
    <row r="498">
      <c r="A498" s="8" t="s">
        <v>41</v>
      </c>
      <c r="B498" s="12" t="s">
        <v>9</v>
      </c>
      <c r="C498" s="12" t="s">
        <v>91</v>
      </c>
      <c r="D498" s="12">
        <v>3.0</v>
      </c>
      <c r="E498" s="12">
        <v>-83333.3333333333</v>
      </c>
      <c r="F498" s="20"/>
      <c r="G498" s="20"/>
    </row>
    <row r="499">
      <c r="A499" s="8" t="s">
        <v>52</v>
      </c>
      <c r="B499" s="12" t="s">
        <v>9</v>
      </c>
      <c r="C499" s="12" t="s">
        <v>91</v>
      </c>
      <c r="D499" s="12">
        <v>3.0</v>
      </c>
      <c r="E499" s="12">
        <v>-33333.3333333333</v>
      </c>
      <c r="F499" s="20"/>
      <c r="G499" s="20"/>
    </row>
    <row r="500">
      <c r="A500" s="8" t="s">
        <v>57</v>
      </c>
      <c r="B500" s="12" t="s">
        <v>9</v>
      </c>
      <c r="C500" s="12" t="s">
        <v>91</v>
      </c>
      <c r="D500" s="12">
        <v>3.0</v>
      </c>
      <c r="E500" s="12">
        <v>-320000.0</v>
      </c>
      <c r="F500" s="20"/>
      <c r="G500" s="20"/>
    </row>
    <row r="501">
      <c r="A501" s="2" t="s">
        <v>7</v>
      </c>
      <c r="B501" s="4" t="s">
        <v>9</v>
      </c>
      <c r="C501" s="4" t="s">
        <v>92</v>
      </c>
      <c r="D501" s="4">
        <v>3.0</v>
      </c>
      <c r="E501" s="4" t="str">
        <f>'Макшанова'!AD343</f>
        <v/>
      </c>
      <c r="F501" s="95"/>
      <c r="G501" s="95"/>
    </row>
    <row r="502">
      <c r="A502" s="2" t="s">
        <v>32</v>
      </c>
      <c r="B502" s="4" t="s">
        <v>9</v>
      </c>
      <c r="C502" s="4" t="s">
        <v>92</v>
      </c>
      <c r="D502" s="4">
        <v>3.0</v>
      </c>
      <c r="E502" s="95">
        <v>36600.0</v>
      </c>
      <c r="F502" s="95"/>
      <c r="G502" s="95"/>
    </row>
    <row r="503">
      <c r="A503" s="2" t="s">
        <v>37</v>
      </c>
      <c r="B503" s="4" t="s">
        <v>9</v>
      </c>
      <c r="C503" s="4" t="s">
        <v>92</v>
      </c>
      <c r="D503" s="4">
        <v>3.0</v>
      </c>
      <c r="E503" s="95">
        <v>208333.33333333334</v>
      </c>
      <c r="F503" s="95"/>
      <c r="G503" s="95"/>
    </row>
    <row r="504">
      <c r="A504" s="2" t="s">
        <v>38</v>
      </c>
      <c r="B504" s="4" t="s">
        <v>9</v>
      </c>
      <c r="C504" s="4" t="s">
        <v>92</v>
      </c>
      <c r="D504" s="4">
        <v>3.0</v>
      </c>
      <c r="E504" s="95">
        <v>291666.6666666667</v>
      </c>
      <c r="F504" s="95"/>
      <c r="G504" s="95"/>
    </row>
    <row r="505">
      <c r="A505" s="82" t="s">
        <v>39</v>
      </c>
      <c r="B505" s="4" t="s">
        <v>9</v>
      </c>
      <c r="C505" s="4" t="s">
        <v>92</v>
      </c>
      <c r="D505" s="4">
        <v>3.0</v>
      </c>
      <c r="E505" s="95">
        <v>250000.0</v>
      </c>
      <c r="F505" s="95"/>
      <c r="G505" s="95"/>
    </row>
    <row r="506">
      <c r="A506" s="2" t="s">
        <v>40</v>
      </c>
      <c r="B506" s="4" t="s">
        <v>27</v>
      </c>
      <c r="C506" s="4" t="s">
        <v>92</v>
      </c>
      <c r="D506" s="4">
        <v>3.0</v>
      </c>
      <c r="E506" s="12">
        <f>J506*0.35*(-1)</f>
        <v>0</v>
      </c>
      <c r="F506" s="95"/>
      <c r="G506" s="95"/>
      <c r="J506" s="23">
        <f>E501+E528</f>
        <v>0</v>
      </c>
    </row>
    <row r="507">
      <c r="A507" s="2" t="s">
        <v>41</v>
      </c>
      <c r="B507" s="4" t="s">
        <v>9</v>
      </c>
      <c r="C507" s="4" t="s">
        <v>92</v>
      </c>
      <c r="D507" s="4">
        <v>3.0</v>
      </c>
      <c r="E507" s="4">
        <v>-83333.3333333333</v>
      </c>
      <c r="F507" s="95"/>
      <c r="G507" s="95"/>
    </row>
    <row r="508">
      <c r="A508" s="2" t="s">
        <v>52</v>
      </c>
      <c r="B508" s="4" t="s">
        <v>9</v>
      </c>
      <c r="C508" s="4" t="s">
        <v>92</v>
      </c>
      <c r="D508" s="4">
        <v>3.0</v>
      </c>
      <c r="E508" s="4">
        <v>-33333.3333333333</v>
      </c>
      <c r="F508" s="95"/>
      <c r="G508" s="95"/>
    </row>
    <row r="509">
      <c r="A509" s="2" t="s">
        <v>57</v>
      </c>
      <c r="B509" s="4" t="s">
        <v>9</v>
      </c>
      <c r="C509" s="4" t="s">
        <v>92</v>
      </c>
      <c r="D509" s="4">
        <v>3.0</v>
      </c>
      <c r="E509" s="83">
        <v>-320000.0</v>
      </c>
      <c r="F509" s="95"/>
      <c r="G509" s="95"/>
    </row>
    <row r="510">
      <c r="A510" s="8" t="s">
        <v>7</v>
      </c>
      <c r="B510" s="12" t="s">
        <v>9</v>
      </c>
      <c r="C510" s="12" t="s">
        <v>93</v>
      </c>
      <c r="D510" s="12">
        <v>3.0</v>
      </c>
      <c r="E510" s="12" t="str">
        <f>'Макшанова'!AG324</f>
        <v/>
      </c>
      <c r="F510" s="20"/>
      <c r="G510" s="20"/>
    </row>
    <row r="511">
      <c r="A511" s="8" t="s">
        <v>32</v>
      </c>
      <c r="B511" s="12" t="s">
        <v>9</v>
      </c>
      <c r="C511" s="12" t="s">
        <v>93</v>
      </c>
      <c r="D511" s="12">
        <v>3.0</v>
      </c>
      <c r="E511" s="20">
        <v>36600.0</v>
      </c>
      <c r="F511" s="20"/>
      <c r="G511" s="20"/>
    </row>
    <row r="512">
      <c r="A512" s="8" t="s">
        <v>37</v>
      </c>
      <c r="B512" s="12" t="s">
        <v>9</v>
      </c>
      <c r="C512" s="12" t="s">
        <v>93</v>
      </c>
      <c r="D512" s="12">
        <v>3.0</v>
      </c>
      <c r="E512" s="20">
        <v>208333.33333333334</v>
      </c>
      <c r="F512" s="20"/>
      <c r="G512" s="20"/>
    </row>
    <row r="513">
      <c r="A513" s="8" t="s">
        <v>38</v>
      </c>
      <c r="B513" s="12" t="s">
        <v>9</v>
      </c>
      <c r="C513" s="12" t="s">
        <v>93</v>
      </c>
      <c r="D513" s="12">
        <v>3.0</v>
      </c>
      <c r="E513" s="20">
        <v>291666.6666666667</v>
      </c>
      <c r="F513" s="20"/>
      <c r="G513" s="20"/>
    </row>
    <row r="514">
      <c r="A514" s="8" t="s">
        <v>39</v>
      </c>
      <c r="B514" s="12" t="s">
        <v>9</v>
      </c>
      <c r="C514" s="12" t="s">
        <v>93</v>
      </c>
      <c r="D514" s="12">
        <v>3.0</v>
      </c>
      <c r="E514" s="20">
        <v>250000.0</v>
      </c>
      <c r="F514" s="20"/>
      <c r="G514" s="20"/>
    </row>
    <row r="515">
      <c r="A515" s="8" t="s">
        <v>40</v>
      </c>
      <c r="B515" s="12" t="s">
        <v>27</v>
      </c>
      <c r="C515" s="12" t="s">
        <v>93</v>
      </c>
      <c r="D515" s="12">
        <v>3.0</v>
      </c>
      <c r="E515" s="12">
        <f>J515*0.35*(-1)</f>
        <v>0</v>
      </c>
      <c r="F515" s="20"/>
      <c r="G515" s="20"/>
      <c r="J515" s="23">
        <f>E510+E537</f>
        <v>0</v>
      </c>
    </row>
    <row r="516">
      <c r="A516" s="8" t="s">
        <v>41</v>
      </c>
      <c r="B516" s="12" t="s">
        <v>9</v>
      </c>
      <c r="C516" s="12" t="s">
        <v>93</v>
      </c>
      <c r="D516" s="12">
        <v>3.0</v>
      </c>
      <c r="E516" s="12">
        <v>-83333.3333333333</v>
      </c>
      <c r="F516" s="20"/>
      <c r="G516" s="20"/>
    </row>
    <row r="517">
      <c r="A517" s="8" t="s">
        <v>52</v>
      </c>
      <c r="B517" s="12" t="s">
        <v>9</v>
      </c>
      <c r="C517" s="12" t="s">
        <v>93</v>
      </c>
      <c r="D517" s="12">
        <v>3.0</v>
      </c>
      <c r="E517" s="12">
        <v>-33333.3333333333</v>
      </c>
      <c r="F517" s="20"/>
      <c r="G517" s="20"/>
    </row>
    <row r="518">
      <c r="A518" s="8" t="s">
        <v>57</v>
      </c>
      <c r="B518" s="12" t="s">
        <v>9</v>
      </c>
      <c r="C518" s="12" t="s">
        <v>93</v>
      </c>
      <c r="D518" s="12">
        <v>3.0</v>
      </c>
      <c r="E518" s="12">
        <v>-320000.0</v>
      </c>
      <c r="F518" s="20"/>
      <c r="G518" s="20"/>
    </row>
    <row r="519">
      <c r="A519" s="2" t="s">
        <v>7</v>
      </c>
      <c r="B519" s="4" t="s">
        <v>9</v>
      </c>
      <c r="C519" s="4" t="s">
        <v>94</v>
      </c>
      <c r="D519" s="4">
        <v>4.0</v>
      </c>
      <c r="E519" s="83" t="str">
        <f>'Макшанова'!AJ305</f>
        <v/>
      </c>
      <c r="F519" s="95"/>
      <c r="G519" s="95"/>
    </row>
    <row r="520">
      <c r="A520" s="2" t="s">
        <v>32</v>
      </c>
      <c r="B520" s="4" t="s">
        <v>9</v>
      </c>
      <c r="C520" s="4" t="s">
        <v>94</v>
      </c>
      <c r="D520" s="4">
        <v>4.0</v>
      </c>
      <c r="E520" s="86">
        <v>36600.0</v>
      </c>
      <c r="F520" s="95"/>
      <c r="G520" s="95"/>
    </row>
    <row r="521">
      <c r="A521" s="2" t="s">
        <v>37</v>
      </c>
      <c r="B521" s="4" t="s">
        <v>9</v>
      </c>
      <c r="C521" s="4" t="s">
        <v>94</v>
      </c>
      <c r="D521" s="4">
        <v>4.0</v>
      </c>
      <c r="E521" s="86">
        <f>'Бюджет 2026'!S273/12</f>
        <v>0</v>
      </c>
      <c r="F521" s="95"/>
      <c r="G521" s="95"/>
    </row>
    <row r="522">
      <c r="A522" s="2" t="s">
        <v>38</v>
      </c>
      <c r="B522" s="4" t="s">
        <v>9</v>
      </c>
      <c r="C522" s="4" t="s">
        <v>94</v>
      </c>
      <c r="D522" s="4">
        <v>4.0</v>
      </c>
      <c r="E522" s="86">
        <f>'Бюджет 2026'!S274/12</f>
        <v>0</v>
      </c>
      <c r="F522" s="95"/>
      <c r="G522" s="95"/>
    </row>
    <row r="523">
      <c r="A523" s="2" t="s">
        <v>39</v>
      </c>
      <c r="B523" s="4" t="s">
        <v>9</v>
      </c>
      <c r="C523" s="4" t="s">
        <v>94</v>
      </c>
      <c r="D523" s="4">
        <v>4.0</v>
      </c>
      <c r="E523" s="86">
        <v>250000.0</v>
      </c>
      <c r="F523" s="95"/>
      <c r="G523" s="95"/>
    </row>
    <row r="524">
      <c r="A524" s="2" t="s">
        <v>40</v>
      </c>
      <c r="B524" s="4" t="s">
        <v>27</v>
      </c>
      <c r="C524" s="4" t="s">
        <v>94</v>
      </c>
      <c r="D524" s="4">
        <v>4.0</v>
      </c>
      <c r="E524" s="12" t="str">
        <f>J524*0.35*(-1)</f>
        <v>#VALUE!</v>
      </c>
      <c r="F524" s="95"/>
      <c r="G524" s="95"/>
      <c r="J524" s="23" t="str">
        <f>E519+E546</f>
        <v>#VALUE!</v>
      </c>
    </row>
    <row r="525">
      <c r="A525" s="2" t="s">
        <v>41</v>
      </c>
      <c r="B525" s="4" t="s">
        <v>9</v>
      </c>
      <c r="C525" s="4" t="s">
        <v>94</v>
      </c>
      <c r="D525" s="4">
        <v>4.0</v>
      </c>
      <c r="E525" s="83">
        <v>-83333.3333333333</v>
      </c>
      <c r="F525" s="95"/>
      <c r="G525" s="95"/>
    </row>
    <row r="526">
      <c r="A526" s="2" t="s">
        <v>52</v>
      </c>
      <c r="B526" s="4" t="s">
        <v>9</v>
      </c>
      <c r="C526" s="4" t="s">
        <v>94</v>
      </c>
      <c r="D526" s="4">
        <v>4.0</v>
      </c>
      <c r="E526" s="83">
        <v>-33333.3333333333</v>
      </c>
      <c r="F526" s="95"/>
      <c r="G526" s="95"/>
    </row>
    <row r="527">
      <c r="A527" s="2" t="s">
        <v>57</v>
      </c>
      <c r="B527" s="4" t="s">
        <v>9</v>
      </c>
      <c r="C527" s="4" t="s">
        <v>94</v>
      </c>
      <c r="D527" s="4">
        <v>4.0</v>
      </c>
      <c r="E527" s="83">
        <v>-320000.0</v>
      </c>
      <c r="F527" s="95"/>
      <c r="G527" s="95"/>
    </row>
    <row r="528">
      <c r="A528" s="8" t="s">
        <v>7</v>
      </c>
      <c r="B528" s="12" t="s">
        <v>9</v>
      </c>
      <c r="C528" s="12" t="s">
        <v>95</v>
      </c>
      <c r="D528" s="12">
        <v>4.0</v>
      </c>
      <c r="E528" s="12" t="str">
        <f>'Макшанова'!AM286</f>
        <v/>
      </c>
      <c r="F528" s="20"/>
      <c r="G528" s="20"/>
    </row>
    <row r="529">
      <c r="A529" s="8" t="s">
        <v>32</v>
      </c>
      <c r="B529" s="12" t="s">
        <v>9</v>
      </c>
      <c r="C529" s="12" t="s">
        <v>95</v>
      </c>
      <c r="D529" s="12">
        <v>4.0</v>
      </c>
      <c r="E529" s="20">
        <f>36600+6100</f>
        <v>42700</v>
      </c>
      <c r="F529" s="20"/>
      <c r="G529" s="20"/>
    </row>
    <row r="530">
      <c r="A530" s="8" t="s">
        <v>37</v>
      </c>
      <c r="B530" s="12" t="s">
        <v>9</v>
      </c>
      <c r="C530" s="12" t="s">
        <v>95</v>
      </c>
      <c r="D530" s="12">
        <v>4.0</v>
      </c>
      <c r="E530" s="20">
        <f>'Бюджет 2026'!S254/12</f>
        <v>0</v>
      </c>
      <c r="F530" s="20"/>
      <c r="G530" s="20"/>
    </row>
    <row r="531">
      <c r="A531" s="8" t="s">
        <v>38</v>
      </c>
      <c r="B531" s="12" t="s">
        <v>9</v>
      </c>
      <c r="C531" s="12" t="s">
        <v>95</v>
      </c>
      <c r="D531" s="12">
        <v>4.0</v>
      </c>
      <c r="E531" s="20">
        <f>'Бюджет 2026'!S255/12</f>
        <v>0</v>
      </c>
      <c r="F531" s="20"/>
      <c r="G531" s="20"/>
    </row>
    <row r="532">
      <c r="A532" s="8" t="s">
        <v>39</v>
      </c>
      <c r="B532" s="12" t="s">
        <v>9</v>
      </c>
      <c r="C532" s="12" t="s">
        <v>95</v>
      </c>
      <c r="D532" s="12">
        <v>4.0</v>
      </c>
      <c r="E532" s="20">
        <v>250000.0</v>
      </c>
      <c r="F532" s="20"/>
      <c r="G532" s="20"/>
    </row>
    <row r="533">
      <c r="A533" s="8" t="s">
        <v>40</v>
      </c>
      <c r="B533" s="12" t="s">
        <v>27</v>
      </c>
      <c r="C533" s="12" t="s">
        <v>95</v>
      </c>
      <c r="D533" s="12">
        <v>4.0</v>
      </c>
      <c r="E533" s="12">
        <f>J533*0.35*(-1)</f>
        <v>112000</v>
      </c>
      <c r="F533" s="20"/>
      <c r="G533" s="20"/>
      <c r="J533" s="23">
        <f>E528+E555</f>
        <v>-320000</v>
      </c>
    </row>
    <row r="534">
      <c r="A534" s="8" t="s">
        <v>41</v>
      </c>
      <c r="B534" s="12" t="s">
        <v>9</v>
      </c>
      <c r="C534" s="12" t="s">
        <v>95</v>
      </c>
      <c r="D534" s="12">
        <v>4.0</v>
      </c>
      <c r="E534" s="12">
        <v>-83333.3333333333</v>
      </c>
      <c r="F534" s="20"/>
      <c r="G534" s="20"/>
    </row>
    <row r="535">
      <c r="A535" s="8" t="s">
        <v>52</v>
      </c>
      <c r="B535" s="12" t="s">
        <v>9</v>
      </c>
      <c r="C535" s="12" t="s">
        <v>95</v>
      </c>
      <c r="D535" s="12">
        <v>4.0</v>
      </c>
      <c r="E535" s="12">
        <v>-33333.3333333333</v>
      </c>
      <c r="F535" s="20"/>
      <c r="G535" s="20"/>
    </row>
    <row r="536">
      <c r="A536" s="8" t="s">
        <v>57</v>
      </c>
      <c r="B536" s="12" t="s">
        <v>9</v>
      </c>
      <c r="C536" s="12" t="s">
        <v>95</v>
      </c>
      <c r="D536" s="12">
        <v>4.0</v>
      </c>
      <c r="E536" s="12">
        <v>-320000.0</v>
      </c>
      <c r="F536" s="20"/>
      <c r="G536" s="20"/>
    </row>
    <row r="537">
      <c r="A537" s="82" t="s">
        <v>7</v>
      </c>
      <c r="B537" s="4" t="s">
        <v>9</v>
      </c>
      <c r="C537" s="4" t="s">
        <v>96</v>
      </c>
      <c r="D537" s="4">
        <v>4.0</v>
      </c>
      <c r="E537" s="83" t="str">
        <f>'Макшанова'!AP267</f>
        <v/>
      </c>
      <c r="F537" s="95"/>
      <c r="G537" s="95"/>
    </row>
    <row r="538">
      <c r="A538" s="2" t="s">
        <v>32</v>
      </c>
      <c r="B538" s="4" t="s">
        <v>9</v>
      </c>
      <c r="C538" s="4" t="s">
        <v>96</v>
      </c>
      <c r="D538" s="4">
        <v>4.0</v>
      </c>
      <c r="E538" s="86">
        <f>36600+6100</f>
        <v>42700</v>
      </c>
      <c r="F538" s="95"/>
      <c r="G538" s="95"/>
    </row>
    <row r="539">
      <c r="A539" s="2" t="s">
        <v>37</v>
      </c>
      <c r="B539" s="4" t="s">
        <v>9</v>
      </c>
      <c r="C539" s="4" t="s">
        <v>96</v>
      </c>
      <c r="D539" s="4">
        <v>4.0</v>
      </c>
      <c r="E539" s="86">
        <f>'Бюджет 2026'!S235/12</f>
        <v>0</v>
      </c>
      <c r="F539" s="95"/>
      <c r="G539" s="95"/>
    </row>
    <row r="540">
      <c r="A540" s="82" t="s">
        <v>38</v>
      </c>
      <c r="B540" s="4" t="s">
        <v>9</v>
      </c>
      <c r="C540" s="4" t="s">
        <v>96</v>
      </c>
      <c r="D540" s="4">
        <v>4.0</v>
      </c>
      <c r="E540" s="86">
        <f>'Бюджет 2026'!S236/12</f>
        <v>0</v>
      </c>
      <c r="F540" s="95"/>
      <c r="G540" s="95"/>
    </row>
    <row r="541">
      <c r="A541" s="82" t="s">
        <v>39</v>
      </c>
      <c r="B541" s="4" t="s">
        <v>9</v>
      </c>
      <c r="C541" s="4" t="s">
        <v>96</v>
      </c>
      <c r="D541" s="4">
        <v>4.0</v>
      </c>
      <c r="E541" s="86">
        <v>250000.0</v>
      </c>
      <c r="F541" s="95"/>
      <c r="G541" s="95"/>
    </row>
    <row r="542">
      <c r="A542" s="82" t="s">
        <v>40</v>
      </c>
      <c r="B542" s="4" t="s">
        <v>27</v>
      </c>
      <c r="C542" s="4" t="s">
        <v>96</v>
      </c>
      <c r="D542" s="4">
        <v>4.0</v>
      </c>
      <c r="E542" s="12">
        <f>J542*0.35*(-1)</f>
        <v>112000</v>
      </c>
      <c r="F542" s="95"/>
      <c r="G542" s="95"/>
      <c r="J542" s="23">
        <f>E537+E564</f>
        <v>-320000</v>
      </c>
    </row>
    <row r="543">
      <c r="A543" s="82" t="s">
        <v>41</v>
      </c>
      <c r="B543" s="4" t="s">
        <v>9</v>
      </c>
      <c r="C543" s="4" t="s">
        <v>96</v>
      </c>
      <c r="D543" s="4">
        <v>4.0</v>
      </c>
      <c r="E543" s="83">
        <v>-83333.3333333333</v>
      </c>
      <c r="F543" s="95"/>
      <c r="G543" s="95"/>
    </row>
    <row r="544">
      <c r="A544" s="2" t="s">
        <v>52</v>
      </c>
      <c r="B544" s="4" t="s">
        <v>9</v>
      </c>
      <c r="C544" s="4" t="s">
        <v>96</v>
      </c>
      <c r="D544" s="4">
        <v>4.0</v>
      </c>
      <c r="E544" s="83">
        <v>-33333.3333333333</v>
      </c>
      <c r="F544" s="95"/>
      <c r="G544" s="95"/>
    </row>
    <row r="545">
      <c r="A545" s="2" t="s">
        <v>57</v>
      </c>
      <c r="B545" s="4" t="s">
        <v>9</v>
      </c>
      <c r="C545" s="4" t="s">
        <v>96</v>
      </c>
      <c r="D545" s="4">
        <v>4.0</v>
      </c>
      <c r="E545" s="83">
        <v>-320000.0</v>
      </c>
      <c r="F545" s="95"/>
      <c r="G545" s="95"/>
    </row>
    <row r="546">
      <c r="A546" s="2">
        <v>0.0</v>
      </c>
      <c r="B546" s="4" t="s">
        <v>0</v>
      </c>
      <c r="C546" s="4" t="s">
        <v>2</v>
      </c>
      <c r="D546" s="4" t="s">
        <v>3</v>
      </c>
      <c r="E546" s="4" t="s">
        <v>4</v>
      </c>
      <c r="F546" s="4" t="s">
        <v>5</v>
      </c>
      <c r="G546" s="4" t="s">
        <v>6</v>
      </c>
    </row>
    <row r="547">
      <c r="A547" s="8" t="s">
        <v>7</v>
      </c>
      <c r="B547" s="12" t="s">
        <v>9</v>
      </c>
      <c r="C547" s="12" t="s">
        <v>10</v>
      </c>
      <c r="D547" s="12">
        <v>1.0</v>
      </c>
      <c r="E547" s="20" t="str">
        <f>'Макшанова'!H585</f>
        <v/>
      </c>
      <c r="F547" s="20"/>
      <c r="G547" s="20"/>
    </row>
    <row r="548">
      <c r="A548" s="8" t="s">
        <v>32</v>
      </c>
      <c r="B548" s="12" t="s">
        <v>9</v>
      </c>
      <c r="C548" s="12" t="s">
        <v>10</v>
      </c>
      <c r="D548" s="12">
        <v>1.0</v>
      </c>
      <c r="E548" s="20">
        <f>6100*4</f>
        <v>24400</v>
      </c>
      <c r="F548" s="20"/>
      <c r="G548" s="20"/>
    </row>
    <row r="549">
      <c r="A549" s="8" t="s">
        <v>37</v>
      </c>
      <c r="B549" s="12" t="s">
        <v>9</v>
      </c>
      <c r="C549" s="12" t="s">
        <v>10</v>
      </c>
      <c r="D549" s="12">
        <v>1.0</v>
      </c>
      <c r="E549" s="12">
        <f>'Бюджет 2026'!S553/12</f>
        <v>0</v>
      </c>
      <c r="F549" s="20"/>
      <c r="G549" s="20"/>
    </row>
    <row r="550">
      <c r="A550" s="8" t="s">
        <v>38</v>
      </c>
      <c r="B550" s="12" t="s">
        <v>9</v>
      </c>
      <c r="C550" s="12" t="s">
        <v>10</v>
      </c>
      <c r="D550" s="12">
        <v>1.0</v>
      </c>
      <c r="E550" s="20">
        <f>'Бюджет 2026'!S554/12</f>
        <v>0</v>
      </c>
      <c r="F550" s="20"/>
      <c r="G550" s="20"/>
    </row>
    <row r="551">
      <c r="A551" s="8" t="s">
        <v>39</v>
      </c>
      <c r="B551" s="12" t="s">
        <v>9</v>
      </c>
      <c r="C551" s="12" t="s">
        <v>10</v>
      </c>
      <c r="D551" s="12">
        <v>1.0</v>
      </c>
      <c r="E551" s="20">
        <f>59000*2</f>
        <v>118000</v>
      </c>
      <c r="F551" s="20"/>
      <c r="G551" s="20"/>
    </row>
    <row r="552">
      <c r="A552" s="8" t="s">
        <v>40</v>
      </c>
      <c r="B552" s="12" t="s">
        <v>27</v>
      </c>
      <c r="C552" s="12" t="s">
        <v>10</v>
      </c>
      <c r="D552" s="12">
        <v>1.0</v>
      </c>
      <c r="E552" s="12">
        <f>J552*0.35*(-1)</f>
        <v>0</v>
      </c>
      <c r="F552" s="20"/>
      <c r="G552" s="20"/>
      <c r="J552" s="23">
        <f>E547+E574</f>
        <v>0</v>
      </c>
    </row>
    <row r="553">
      <c r="A553" s="8" t="s">
        <v>41</v>
      </c>
      <c r="B553" s="12" t="s">
        <v>9</v>
      </c>
      <c r="C553" s="12" t="s">
        <v>10</v>
      </c>
      <c r="D553" s="12">
        <v>1.0</v>
      </c>
      <c r="E553" s="20"/>
      <c r="F553" s="20"/>
      <c r="G553" s="20"/>
    </row>
    <row r="554">
      <c r="A554" s="8" t="s">
        <v>52</v>
      </c>
      <c r="B554" s="12" t="s">
        <v>9</v>
      </c>
      <c r="C554" s="12" t="s">
        <v>10</v>
      </c>
      <c r="D554" s="12">
        <v>1.0</v>
      </c>
      <c r="E554" s="12">
        <v>-20000.0</v>
      </c>
      <c r="F554" s="20"/>
      <c r="G554" s="20"/>
    </row>
    <row r="555">
      <c r="A555" s="8" t="s">
        <v>57</v>
      </c>
      <c r="B555" s="12" t="s">
        <v>9</v>
      </c>
      <c r="C555" s="12" t="s">
        <v>10</v>
      </c>
      <c r="D555" s="12">
        <v>1.0</v>
      </c>
      <c r="E555" s="12">
        <v>-320000.0</v>
      </c>
      <c r="F555" s="20"/>
      <c r="G555" s="20"/>
    </row>
    <row r="556">
      <c r="A556" s="2" t="s">
        <v>7</v>
      </c>
      <c r="B556" s="4" t="s">
        <v>9</v>
      </c>
      <c r="C556" s="4" t="s">
        <v>76</v>
      </c>
      <c r="D556" s="4">
        <v>1.0</v>
      </c>
      <c r="E556" s="4" t="str">
        <f>'Макшанова'!L566</f>
        <v/>
      </c>
      <c r="F556" s="95"/>
      <c r="G556" s="95"/>
    </row>
    <row r="557">
      <c r="A557" s="2" t="s">
        <v>32</v>
      </c>
      <c r="B557" s="4" t="s">
        <v>9</v>
      </c>
      <c r="C557" s="4" t="s">
        <v>76</v>
      </c>
      <c r="D557" s="4">
        <v>1.0</v>
      </c>
      <c r="E557" s="4">
        <v>30500.0</v>
      </c>
      <c r="F557" s="95"/>
      <c r="G557" s="95"/>
    </row>
    <row r="558">
      <c r="A558" s="2" t="s">
        <v>37</v>
      </c>
      <c r="B558" s="4" t="s">
        <v>9</v>
      </c>
      <c r="C558" s="4" t="s">
        <v>76</v>
      </c>
      <c r="D558" s="4">
        <v>1.0</v>
      </c>
      <c r="E558" s="95">
        <f>'Бюджет 2026'!S534/12</f>
        <v>0</v>
      </c>
      <c r="F558" s="95"/>
      <c r="G558" s="95"/>
    </row>
    <row r="559">
      <c r="A559" s="2" t="s">
        <v>38</v>
      </c>
      <c r="B559" s="4" t="s">
        <v>9</v>
      </c>
      <c r="C559" s="4" t="s">
        <v>76</v>
      </c>
      <c r="D559" s="4">
        <v>1.0</v>
      </c>
      <c r="E559" s="95">
        <f>'Бюджет 2026'!S535/12</f>
        <v>0</v>
      </c>
      <c r="F559" s="95"/>
      <c r="G559" s="95"/>
    </row>
    <row r="560">
      <c r="A560" s="2" t="s">
        <v>39</v>
      </c>
      <c r="B560" s="4" t="s">
        <v>9</v>
      </c>
      <c r="C560" s="4" t="s">
        <v>76</v>
      </c>
      <c r="D560" s="4">
        <v>1.0</v>
      </c>
      <c r="E560" s="95">
        <f>59000*3</f>
        <v>177000</v>
      </c>
      <c r="F560" s="95"/>
      <c r="G560" s="95"/>
    </row>
    <row r="561">
      <c r="A561" s="2" t="s">
        <v>40</v>
      </c>
      <c r="B561" s="4" t="s">
        <v>27</v>
      </c>
      <c r="C561" s="4" t="s">
        <v>76</v>
      </c>
      <c r="D561" s="4">
        <v>1.0</v>
      </c>
      <c r="E561" s="12">
        <f>J561*0.35*(-1)</f>
        <v>0</v>
      </c>
      <c r="F561" s="95"/>
      <c r="G561" s="95"/>
      <c r="J561" s="23">
        <f>E556+E583</f>
        <v>0</v>
      </c>
    </row>
    <row r="562">
      <c r="A562" s="2" t="s">
        <v>41</v>
      </c>
      <c r="B562" s="4" t="s">
        <v>9</v>
      </c>
      <c r="C562" s="4" t="s">
        <v>76</v>
      </c>
      <c r="D562" s="4">
        <v>1.0</v>
      </c>
      <c r="E562" s="4">
        <v>-113636.363636364</v>
      </c>
      <c r="F562" s="95"/>
      <c r="G562" s="95"/>
    </row>
    <row r="563">
      <c r="A563" s="2" t="s">
        <v>52</v>
      </c>
      <c r="B563" s="4" t="s">
        <v>9</v>
      </c>
      <c r="C563" s="4" t="s">
        <v>76</v>
      </c>
      <c r="D563" s="4">
        <v>1.0</v>
      </c>
      <c r="E563" s="83">
        <v>-33333.3333333333</v>
      </c>
      <c r="F563" s="95"/>
      <c r="G563" s="95"/>
    </row>
    <row r="564">
      <c r="A564" s="2" t="s">
        <v>57</v>
      </c>
      <c r="B564" s="4" t="s">
        <v>9</v>
      </c>
      <c r="C564" s="4" t="s">
        <v>76</v>
      </c>
      <c r="D564" s="4">
        <v>1.0</v>
      </c>
      <c r="E564" s="83">
        <v>-320000.0</v>
      </c>
      <c r="F564" s="95"/>
      <c r="G564" s="95"/>
    </row>
    <row r="565">
      <c r="A565" s="8" t="s">
        <v>7</v>
      </c>
      <c r="B565" s="12" t="s">
        <v>9</v>
      </c>
      <c r="C565" s="12" t="s">
        <v>88</v>
      </c>
      <c r="D565" s="12">
        <v>1.0</v>
      </c>
      <c r="E565" s="20" t="str">
        <f>'Макшанова'!O547</f>
        <v/>
      </c>
      <c r="F565" s="20"/>
      <c r="G565" s="20"/>
    </row>
    <row r="566">
      <c r="A566" s="8" t="s">
        <v>32</v>
      </c>
      <c r="B566" s="12" t="s">
        <v>9</v>
      </c>
      <c r="C566" s="12" t="s">
        <v>88</v>
      </c>
      <c r="D566" s="12">
        <v>1.0</v>
      </c>
      <c r="E566" s="12">
        <f>30500+6100</f>
        <v>36600</v>
      </c>
      <c r="F566" s="20"/>
      <c r="G566" s="20"/>
    </row>
    <row r="567">
      <c r="A567" s="8" t="s">
        <v>37</v>
      </c>
      <c r="B567" s="12" t="s">
        <v>9</v>
      </c>
      <c r="C567" s="12" t="s">
        <v>88</v>
      </c>
      <c r="D567" s="12">
        <v>1.0</v>
      </c>
      <c r="E567" s="20">
        <f>'Бюджет 2026'!S515/12</f>
        <v>0</v>
      </c>
      <c r="F567" s="20"/>
      <c r="G567" s="20"/>
    </row>
    <row r="568">
      <c r="A568" s="8" t="s">
        <v>38</v>
      </c>
      <c r="B568" s="12" t="s">
        <v>9</v>
      </c>
      <c r="C568" s="12" t="s">
        <v>88</v>
      </c>
      <c r="D568" s="12">
        <v>1.0</v>
      </c>
      <c r="E568" s="20">
        <f>'Бюджет 2026'!S516/12</f>
        <v>0</v>
      </c>
      <c r="F568" s="20"/>
      <c r="G568" s="20"/>
    </row>
    <row r="569">
      <c r="A569" s="8" t="s">
        <v>39</v>
      </c>
      <c r="B569" s="12" t="s">
        <v>9</v>
      </c>
      <c r="C569" s="12" t="s">
        <v>88</v>
      </c>
      <c r="D569" s="12">
        <v>1.0</v>
      </c>
      <c r="E569" s="20">
        <f>'Бюджет 2026'!S517/12</f>
        <v>0</v>
      </c>
      <c r="F569" s="20"/>
      <c r="G569" s="20"/>
    </row>
    <row r="570">
      <c r="A570" s="8" t="s">
        <v>40</v>
      </c>
      <c r="B570" s="12" t="s">
        <v>27</v>
      </c>
      <c r="C570" s="12" t="s">
        <v>88</v>
      </c>
      <c r="D570" s="12">
        <v>1.0</v>
      </c>
      <c r="E570" s="12">
        <f>J570*0.35*(-1)</f>
        <v>0</v>
      </c>
      <c r="F570" s="20"/>
      <c r="G570" s="20"/>
      <c r="J570" s="23">
        <f>E565+E592</f>
        <v>0</v>
      </c>
    </row>
    <row r="571">
      <c r="A571" s="8" t="s">
        <v>41</v>
      </c>
      <c r="B571" s="12" t="s">
        <v>9</v>
      </c>
      <c r="C571" s="12" t="s">
        <v>88</v>
      </c>
      <c r="D571" s="12">
        <v>1.0</v>
      </c>
      <c r="E571" s="12">
        <v>-227272.727272727</v>
      </c>
      <c r="F571" s="20"/>
      <c r="G571" s="20"/>
    </row>
    <row r="572">
      <c r="A572" s="8" t="s">
        <v>52</v>
      </c>
      <c r="B572" s="12" t="s">
        <v>9</v>
      </c>
      <c r="C572" s="12" t="s">
        <v>88</v>
      </c>
      <c r="D572" s="12">
        <v>1.0</v>
      </c>
      <c r="E572" s="12">
        <v>-33333.3333333333</v>
      </c>
      <c r="F572" s="20"/>
      <c r="G572" s="20"/>
    </row>
    <row r="573">
      <c r="A573" s="8" t="s">
        <v>57</v>
      </c>
      <c r="B573" s="12" t="s">
        <v>9</v>
      </c>
      <c r="C573" s="12" t="s">
        <v>88</v>
      </c>
      <c r="D573" s="12">
        <v>1.0</v>
      </c>
      <c r="E573" s="12">
        <v>-320000.0</v>
      </c>
      <c r="F573" s="20"/>
      <c r="G573" s="20"/>
    </row>
    <row r="574">
      <c r="A574" s="2" t="s">
        <v>7</v>
      </c>
      <c r="B574" s="4" t="s">
        <v>9</v>
      </c>
      <c r="C574" s="4" t="s">
        <v>89</v>
      </c>
      <c r="D574" s="4">
        <v>2.0</v>
      </c>
      <c r="E574" s="86" t="str">
        <f>'Макшанова'!R528</f>
        <v/>
      </c>
      <c r="F574" s="95"/>
      <c r="G574" s="95"/>
    </row>
    <row r="575">
      <c r="A575" s="2" t="s">
        <v>32</v>
      </c>
      <c r="B575" s="4" t="s">
        <v>9</v>
      </c>
      <c r="C575" s="4" t="s">
        <v>89</v>
      </c>
      <c r="D575" s="4">
        <v>2.0</v>
      </c>
      <c r="E575" s="83">
        <f>30500+6100</f>
        <v>36600</v>
      </c>
      <c r="F575" s="95"/>
      <c r="G575" s="95"/>
    </row>
    <row r="576">
      <c r="A576" s="2" t="s">
        <v>37</v>
      </c>
      <c r="B576" s="4" t="s">
        <v>9</v>
      </c>
      <c r="C576" s="4" t="s">
        <v>89</v>
      </c>
      <c r="D576" s="4">
        <v>2.0</v>
      </c>
      <c r="E576" s="86">
        <f>'Бюджет 2026'!S496/12</f>
        <v>0</v>
      </c>
      <c r="F576" s="95"/>
      <c r="G576" s="95"/>
    </row>
    <row r="577">
      <c r="A577" s="2" t="s">
        <v>38</v>
      </c>
      <c r="B577" s="4" t="s">
        <v>9</v>
      </c>
      <c r="C577" s="4" t="s">
        <v>89</v>
      </c>
      <c r="D577" s="4">
        <v>2.0</v>
      </c>
      <c r="E577" s="86">
        <f>'Бюджет 2026'!S497/12</f>
        <v>0</v>
      </c>
      <c r="F577" s="95"/>
      <c r="G577" s="95"/>
    </row>
    <row r="578">
      <c r="A578" s="2" t="s">
        <v>39</v>
      </c>
      <c r="B578" s="4" t="s">
        <v>9</v>
      </c>
      <c r="C578" s="4" t="s">
        <v>89</v>
      </c>
      <c r="D578" s="4">
        <v>2.0</v>
      </c>
      <c r="E578" s="86">
        <f>'Бюджет 2026'!S525/12</f>
        <v>0</v>
      </c>
      <c r="F578" s="95"/>
      <c r="G578" s="95"/>
    </row>
    <row r="579">
      <c r="A579" s="2" t="s">
        <v>40</v>
      </c>
      <c r="B579" s="4" t="s">
        <v>27</v>
      </c>
      <c r="C579" s="4" t="s">
        <v>89</v>
      </c>
      <c r="D579" s="4">
        <v>2.0</v>
      </c>
      <c r="E579" s="12">
        <f>J579*0.35*(-1)</f>
        <v>0</v>
      </c>
      <c r="F579" s="95"/>
      <c r="G579" s="95"/>
      <c r="J579" s="23">
        <f>E574+E601</f>
        <v>0</v>
      </c>
    </row>
    <row r="580">
      <c r="A580" s="2" t="s">
        <v>41</v>
      </c>
      <c r="B580" s="4" t="s">
        <v>9</v>
      </c>
      <c r="C580" s="4" t="s">
        <v>89</v>
      </c>
      <c r="D580" s="4">
        <v>2.0</v>
      </c>
      <c r="E580" s="83">
        <v>-170181.818181818</v>
      </c>
      <c r="F580" s="95"/>
      <c r="G580" s="95"/>
    </row>
    <row r="581">
      <c r="A581" s="2" t="s">
        <v>52</v>
      </c>
      <c r="B581" s="4" t="s">
        <v>9</v>
      </c>
      <c r="C581" s="4" t="s">
        <v>89</v>
      </c>
      <c r="D581" s="4">
        <v>2.0</v>
      </c>
      <c r="E581" s="83">
        <v>-33333.3333333333</v>
      </c>
      <c r="F581" s="95"/>
      <c r="G581" s="95"/>
    </row>
    <row r="582">
      <c r="A582" s="2" t="s">
        <v>57</v>
      </c>
      <c r="B582" s="4" t="s">
        <v>9</v>
      </c>
      <c r="C582" s="4" t="s">
        <v>89</v>
      </c>
      <c r="D582" s="4">
        <v>2.0</v>
      </c>
      <c r="E582" s="83">
        <v>-320000.0</v>
      </c>
      <c r="F582" s="95"/>
      <c r="G582" s="95"/>
    </row>
    <row r="583">
      <c r="A583" s="8" t="s">
        <v>7</v>
      </c>
      <c r="B583" s="12" t="s">
        <v>9</v>
      </c>
      <c r="C583" s="12" t="s">
        <v>28</v>
      </c>
      <c r="D583" s="12">
        <v>2.0</v>
      </c>
      <c r="E583" s="20" t="str">
        <f>'Макшанова'!R509</f>
        <v/>
      </c>
      <c r="F583" s="20"/>
      <c r="G583" s="20"/>
    </row>
    <row r="584">
      <c r="A584" s="8" t="s">
        <v>32</v>
      </c>
      <c r="B584" s="12" t="s">
        <v>9</v>
      </c>
      <c r="C584" s="12" t="s">
        <v>28</v>
      </c>
      <c r="D584" s="12">
        <v>2.0</v>
      </c>
      <c r="E584" s="12">
        <v>36600.0</v>
      </c>
      <c r="F584" s="20"/>
      <c r="G584" s="20"/>
    </row>
    <row r="585">
      <c r="A585" s="8" t="s">
        <v>37</v>
      </c>
      <c r="B585" s="12" t="s">
        <v>9</v>
      </c>
      <c r="C585" s="12" t="s">
        <v>28</v>
      </c>
      <c r="D585" s="12">
        <v>2.0</v>
      </c>
      <c r="E585" s="20">
        <f>'Бюджет 2026'!S477/12</f>
        <v>0</v>
      </c>
      <c r="F585" s="20"/>
      <c r="G585" s="20"/>
    </row>
    <row r="586">
      <c r="A586" s="8" t="s">
        <v>38</v>
      </c>
      <c r="B586" s="12" t="s">
        <v>9</v>
      </c>
      <c r="C586" s="12" t="s">
        <v>28</v>
      </c>
      <c r="D586" s="12">
        <v>2.0</v>
      </c>
      <c r="E586" s="20">
        <f>'Бюджет 2026'!S478/12</f>
        <v>0</v>
      </c>
      <c r="F586" s="20"/>
      <c r="G586" s="20"/>
    </row>
    <row r="587">
      <c r="A587" s="8" t="s">
        <v>39</v>
      </c>
      <c r="B587" s="12" t="s">
        <v>9</v>
      </c>
      <c r="C587" s="12" t="s">
        <v>28</v>
      </c>
      <c r="D587" s="12">
        <v>2.0</v>
      </c>
      <c r="E587" s="20">
        <f>'Бюджет 2026'!S479/12</f>
        <v>0</v>
      </c>
      <c r="F587" s="20"/>
      <c r="G587" s="20"/>
    </row>
    <row r="588">
      <c r="A588" s="8" t="s">
        <v>40</v>
      </c>
      <c r="B588" s="12" t="s">
        <v>27</v>
      </c>
      <c r="C588" s="12" t="s">
        <v>28</v>
      </c>
      <c r="D588" s="12">
        <v>2.0</v>
      </c>
      <c r="E588" s="12">
        <f>J588*0.35*(-1)</f>
        <v>0</v>
      </c>
      <c r="F588" s="20"/>
      <c r="G588" s="20"/>
      <c r="J588" s="23">
        <f>E583+E610</f>
        <v>0</v>
      </c>
    </row>
    <row r="589">
      <c r="A589" s="8" t="s">
        <v>41</v>
      </c>
      <c r="B589" s="12" t="s">
        <v>9</v>
      </c>
      <c r="C589" s="12" t="s">
        <v>28</v>
      </c>
      <c r="D589" s="12">
        <v>2.0</v>
      </c>
      <c r="E589" s="12">
        <v>-104166.666666667</v>
      </c>
      <c r="F589" s="20"/>
      <c r="G589" s="20"/>
    </row>
    <row r="590">
      <c r="A590" s="8" t="s">
        <v>52</v>
      </c>
      <c r="B590" s="12" t="s">
        <v>9</v>
      </c>
      <c r="C590" s="12" t="s">
        <v>28</v>
      </c>
      <c r="D590" s="12">
        <v>2.0</v>
      </c>
      <c r="E590" s="12">
        <v>-33333.3333333333</v>
      </c>
      <c r="F590" s="20"/>
      <c r="G590" s="20"/>
    </row>
    <row r="591">
      <c r="A591" s="8" t="s">
        <v>57</v>
      </c>
      <c r="B591" s="12" t="s">
        <v>9</v>
      </c>
      <c r="C591" s="12" t="s">
        <v>28</v>
      </c>
      <c r="D591" s="12">
        <v>2.0</v>
      </c>
      <c r="E591" s="12">
        <v>-320000.0</v>
      </c>
      <c r="F591" s="20"/>
      <c r="G591" s="20"/>
    </row>
    <row r="592">
      <c r="A592" s="82" t="s">
        <v>7</v>
      </c>
      <c r="B592" s="83" t="s">
        <v>9</v>
      </c>
      <c r="C592" s="83" t="s">
        <v>90</v>
      </c>
      <c r="D592" s="83">
        <v>2.0</v>
      </c>
      <c r="E592" s="83" t="str">
        <f>'Макшанова'!X490</f>
        <v/>
      </c>
      <c r="F592" s="86"/>
      <c r="G592" s="86"/>
    </row>
    <row r="593">
      <c r="A593" s="82" t="s">
        <v>32</v>
      </c>
      <c r="B593" s="83" t="s">
        <v>9</v>
      </c>
      <c r="C593" s="83" t="s">
        <v>90</v>
      </c>
      <c r="D593" s="83">
        <v>2.0</v>
      </c>
      <c r="E593" s="86" t="str">
        <f>E537</f>
        <v/>
      </c>
      <c r="F593" s="86"/>
      <c r="G593" s="86"/>
    </row>
    <row r="594">
      <c r="A594" s="82" t="s">
        <v>37</v>
      </c>
      <c r="B594" s="83" t="s">
        <v>9</v>
      </c>
      <c r="C594" s="83" t="s">
        <v>90</v>
      </c>
      <c r="D594" s="83">
        <v>2.0</v>
      </c>
      <c r="E594" s="86">
        <v>208333.33333333334</v>
      </c>
      <c r="F594" s="86"/>
      <c r="G594" s="86"/>
    </row>
    <row r="595">
      <c r="A595" s="82" t="s">
        <v>38</v>
      </c>
      <c r="B595" s="83" t="s">
        <v>9</v>
      </c>
      <c r="C595" s="83" t="s">
        <v>90</v>
      </c>
      <c r="D595" s="83">
        <v>2.0</v>
      </c>
      <c r="E595" s="86">
        <v>291666.6666666667</v>
      </c>
      <c r="F595" s="86"/>
      <c r="G595" s="86"/>
    </row>
    <row r="596">
      <c r="A596" s="82" t="s">
        <v>39</v>
      </c>
      <c r="B596" s="83" t="s">
        <v>9</v>
      </c>
      <c r="C596" s="83" t="s">
        <v>90</v>
      </c>
      <c r="D596" s="83">
        <v>2.0</v>
      </c>
      <c r="E596" s="86">
        <f>E568</f>
        <v>0</v>
      </c>
      <c r="F596" s="86"/>
      <c r="G596" s="86"/>
    </row>
    <row r="597">
      <c r="A597" s="82" t="s">
        <v>40</v>
      </c>
      <c r="B597" s="83" t="s">
        <v>27</v>
      </c>
      <c r="C597" s="83" t="s">
        <v>90</v>
      </c>
      <c r="D597" s="83">
        <v>2.0</v>
      </c>
      <c r="E597" s="12">
        <f>J597*0.35*(-1)</f>
        <v>0</v>
      </c>
      <c r="F597" s="86"/>
      <c r="G597" s="86"/>
      <c r="J597" s="23">
        <f>E592+E619</f>
        <v>0</v>
      </c>
    </row>
    <row r="598">
      <c r="A598" s="82" t="s">
        <v>41</v>
      </c>
      <c r="B598" s="83" t="s">
        <v>9</v>
      </c>
      <c r="C598" s="83" t="s">
        <v>90</v>
      </c>
      <c r="D598" s="83">
        <v>2.0</v>
      </c>
      <c r="E598" s="83">
        <v>-83333.3333333333</v>
      </c>
      <c r="F598" s="86"/>
      <c r="G598" s="86"/>
    </row>
    <row r="599">
      <c r="A599" s="82" t="s">
        <v>52</v>
      </c>
      <c r="B599" s="83" t="s">
        <v>9</v>
      </c>
      <c r="C599" s="83" t="s">
        <v>90</v>
      </c>
      <c r="D599" s="83">
        <v>2.0</v>
      </c>
      <c r="E599" s="83">
        <v>-33333.3333333333</v>
      </c>
      <c r="F599" s="86"/>
      <c r="G599" s="86"/>
    </row>
    <row r="600">
      <c r="A600" s="82" t="s">
        <v>57</v>
      </c>
      <c r="B600" s="83" t="s">
        <v>9</v>
      </c>
      <c r="C600" s="83" t="s">
        <v>90</v>
      </c>
      <c r="D600" s="83">
        <v>2.0</v>
      </c>
      <c r="E600" s="83">
        <v>-320000.0</v>
      </c>
      <c r="F600" s="86"/>
      <c r="G600" s="86"/>
    </row>
    <row r="601">
      <c r="A601" s="8" t="s">
        <v>7</v>
      </c>
      <c r="B601" s="12" t="s">
        <v>9</v>
      </c>
      <c r="C601" s="12" t="s">
        <v>91</v>
      </c>
      <c r="D601" s="12">
        <v>3.0</v>
      </c>
      <c r="E601" s="12" t="str">
        <f>'Макшанова'!AA471</f>
        <v/>
      </c>
      <c r="F601" s="20"/>
      <c r="G601" s="20"/>
    </row>
    <row r="602">
      <c r="A602" s="8" t="s">
        <v>32</v>
      </c>
      <c r="B602" s="12" t="s">
        <v>9</v>
      </c>
      <c r="C602" s="12" t="s">
        <v>91</v>
      </c>
      <c r="D602" s="12">
        <v>3.0</v>
      </c>
      <c r="E602" s="20">
        <f>36600+3500</f>
        <v>40100</v>
      </c>
      <c r="F602" s="20"/>
      <c r="G602" s="20"/>
    </row>
    <row r="603">
      <c r="A603" s="8" t="s">
        <v>37</v>
      </c>
      <c r="B603" s="12" t="s">
        <v>9</v>
      </c>
      <c r="C603" s="12" t="s">
        <v>91</v>
      </c>
      <c r="D603" s="12">
        <v>3.0</v>
      </c>
      <c r="E603" s="20">
        <f>'Бюджет 2026'!S439/12</f>
        <v>0</v>
      </c>
      <c r="F603" s="20"/>
      <c r="G603" s="20"/>
    </row>
    <row r="604">
      <c r="A604" s="8" t="s">
        <v>38</v>
      </c>
      <c r="B604" s="12" t="s">
        <v>9</v>
      </c>
      <c r="C604" s="12" t="s">
        <v>91</v>
      </c>
      <c r="D604" s="12">
        <v>3.0</v>
      </c>
      <c r="E604" s="20">
        <v>291666.6666666667</v>
      </c>
      <c r="F604" s="20"/>
      <c r="G604" s="20"/>
    </row>
    <row r="605">
      <c r="A605" s="8" t="s">
        <v>39</v>
      </c>
      <c r="B605" s="12" t="s">
        <v>9</v>
      </c>
      <c r="C605" s="12" t="s">
        <v>91</v>
      </c>
      <c r="D605" s="12">
        <v>3.0</v>
      </c>
      <c r="E605" s="20">
        <v>250000.0</v>
      </c>
      <c r="F605" s="20"/>
      <c r="G605" s="20"/>
    </row>
    <row r="606">
      <c r="A606" s="8" t="s">
        <v>40</v>
      </c>
      <c r="B606" s="12" t="s">
        <v>27</v>
      </c>
      <c r="C606" s="12" t="s">
        <v>91</v>
      </c>
      <c r="D606" s="12">
        <v>3.0</v>
      </c>
      <c r="E606" s="12">
        <f>J606*0.35*(-1)</f>
        <v>0</v>
      </c>
      <c r="F606" s="20"/>
      <c r="G606" s="20"/>
      <c r="J606" s="23">
        <f>E601+E628</f>
        <v>0</v>
      </c>
    </row>
    <row r="607">
      <c r="A607" s="8" t="s">
        <v>41</v>
      </c>
      <c r="B607" s="12" t="s">
        <v>9</v>
      </c>
      <c r="C607" s="12" t="s">
        <v>91</v>
      </c>
      <c r="D607" s="12">
        <v>3.0</v>
      </c>
      <c r="E607" s="12">
        <v>-83333.3333333333</v>
      </c>
      <c r="F607" s="20"/>
      <c r="G607" s="20"/>
    </row>
    <row r="608">
      <c r="A608" s="8" t="s">
        <v>52</v>
      </c>
      <c r="B608" s="12" t="s">
        <v>9</v>
      </c>
      <c r="C608" s="12" t="s">
        <v>91</v>
      </c>
      <c r="D608" s="12">
        <v>3.0</v>
      </c>
      <c r="E608" s="12">
        <v>-33333.3333333333</v>
      </c>
      <c r="F608" s="20"/>
      <c r="G608" s="20"/>
    </row>
    <row r="609">
      <c r="A609" s="8" t="s">
        <v>57</v>
      </c>
      <c r="B609" s="12" t="s">
        <v>9</v>
      </c>
      <c r="C609" s="12" t="s">
        <v>91</v>
      </c>
      <c r="D609" s="12">
        <v>3.0</v>
      </c>
      <c r="E609" s="12">
        <v>-320000.0</v>
      </c>
      <c r="F609" s="20"/>
      <c r="G609" s="20"/>
    </row>
    <row r="610">
      <c r="A610" s="2" t="s">
        <v>7</v>
      </c>
      <c r="B610" s="4" t="s">
        <v>9</v>
      </c>
      <c r="C610" s="4" t="s">
        <v>92</v>
      </c>
      <c r="D610" s="4">
        <v>3.0</v>
      </c>
      <c r="E610" s="4" t="str">
        <f>'Макшанова'!AD452</f>
        <v/>
      </c>
      <c r="F610" s="95"/>
      <c r="G610" s="95"/>
    </row>
    <row r="611">
      <c r="A611" s="2" t="s">
        <v>32</v>
      </c>
      <c r="B611" s="4" t="s">
        <v>9</v>
      </c>
      <c r="C611" s="4" t="s">
        <v>92</v>
      </c>
      <c r="D611" s="4">
        <v>3.0</v>
      </c>
      <c r="E611" s="95">
        <v>36600.0</v>
      </c>
      <c r="F611" s="95"/>
      <c r="G611" s="95"/>
    </row>
    <row r="612">
      <c r="A612" s="2" t="s">
        <v>37</v>
      </c>
      <c r="B612" s="4" t="s">
        <v>9</v>
      </c>
      <c r="C612" s="4" t="s">
        <v>92</v>
      </c>
      <c r="D612" s="4">
        <v>3.0</v>
      </c>
      <c r="E612" s="95">
        <v>208333.33333333334</v>
      </c>
      <c r="F612" s="95"/>
      <c r="G612" s="95"/>
    </row>
    <row r="613">
      <c r="A613" s="2" t="s">
        <v>38</v>
      </c>
      <c r="B613" s="4" t="s">
        <v>9</v>
      </c>
      <c r="C613" s="4" t="s">
        <v>92</v>
      </c>
      <c r="D613" s="4">
        <v>3.0</v>
      </c>
      <c r="E613" s="95">
        <v>291666.6666666667</v>
      </c>
      <c r="F613" s="95"/>
      <c r="G613" s="95"/>
    </row>
    <row r="614">
      <c r="A614" s="82" t="s">
        <v>39</v>
      </c>
      <c r="B614" s="4" t="s">
        <v>9</v>
      </c>
      <c r="C614" s="4" t="s">
        <v>92</v>
      </c>
      <c r="D614" s="4">
        <v>3.0</v>
      </c>
      <c r="E614" s="95">
        <v>250000.0</v>
      </c>
      <c r="F614" s="95"/>
      <c r="G614" s="95"/>
    </row>
    <row r="615">
      <c r="A615" s="2" t="s">
        <v>40</v>
      </c>
      <c r="B615" s="4" t="s">
        <v>27</v>
      </c>
      <c r="C615" s="4" t="s">
        <v>92</v>
      </c>
      <c r="D615" s="4">
        <v>3.0</v>
      </c>
      <c r="E615" s="12">
        <f>J615*0.35*(-1)</f>
        <v>0</v>
      </c>
      <c r="F615" s="95"/>
      <c r="G615" s="95"/>
      <c r="J615" s="23">
        <f>E610+E637</f>
        <v>0</v>
      </c>
    </row>
    <row r="616">
      <c r="A616" s="2" t="s">
        <v>41</v>
      </c>
      <c r="B616" s="4" t="s">
        <v>9</v>
      </c>
      <c r="C616" s="4" t="s">
        <v>92</v>
      </c>
      <c r="D616" s="4">
        <v>3.0</v>
      </c>
      <c r="E616" s="4">
        <v>-83333.3333333333</v>
      </c>
      <c r="F616" s="95"/>
      <c r="G616" s="95"/>
    </row>
    <row r="617">
      <c r="A617" s="2" t="s">
        <v>52</v>
      </c>
      <c r="B617" s="4" t="s">
        <v>9</v>
      </c>
      <c r="C617" s="4" t="s">
        <v>92</v>
      </c>
      <c r="D617" s="4">
        <v>3.0</v>
      </c>
      <c r="E617" s="4">
        <v>-33333.3333333333</v>
      </c>
      <c r="F617" s="95"/>
      <c r="G617" s="95"/>
    </row>
    <row r="618">
      <c r="A618" s="2" t="s">
        <v>57</v>
      </c>
      <c r="B618" s="4" t="s">
        <v>9</v>
      </c>
      <c r="C618" s="4" t="s">
        <v>92</v>
      </c>
      <c r="D618" s="4">
        <v>3.0</v>
      </c>
      <c r="E618" s="83">
        <v>-320000.0</v>
      </c>
      <c r="F618" s="95"/>
      <c r="G618" s="95"/>
    </row>
    <row r="619">
      <c r="A619" s="8" t="s">
        <v>7</v>
      </c>
      <c r="B619" s="12" t="s">
        <v>9</v>
      </c>
      <c r="C619" s="12" t="s">
        <v>93</v>
      </c>
      <c r="D619" s="12">
        <v>3.0</v>
      </c>
      <c r="E619" s="12" t="str">
        <f>'Макшанова'!AG433</f>
        <v/>
      </c>
      <c r="F619" s="20"/>
      <c r="G619" s="20"/>
    </row>
    <row r="620">
      <c r="A620" s="8" t="s">
        <v>32</v>
      </c>
      <c r="B620" s="12" t="s">
        <v>9</v>
      </c>
      <c r="C620" s="12" t="s">
        <v>93</v>
      </c>
      <c r="D620" s="12">
        <v>3.0</v>
      </c>
      <c r="E620" s="20">
        <v>36600.0</v>
      </c>
      <c r="F620" s="20"/>
      <c r="G620" s="20"/>
    </row>
    <row r="621">
      <c r="A621" s="8" t="s">
        <v>37</v>
      </c>
      <c r="B621" s="12" t="s">
        <v>9</v>
      </c>
      <c r="C621" s="12" t="s">
        <v>93</v>
      </c>
      <c r="D621" s="12">
        <v>3.0</v>
      </c>
      <c r="E621" s="20">
        <v>208333.33333333334</v>
      </c>
      <c r="F621" s="20"/>
      <c r="G621" s="20"/>
    </row>
    <row r="622">
      <c r="A622" s="8" t="s">
        <v>38</v>
      </c>
      <c r="B622" s="12" t="s">
        <v>9</v>
      </c>
      <c r="C622" s="12" t="s">
        <v>93</v>
      </c>
      <c r="D622" s="12">
        <v>3.0</v>
      </c>
      <c r="E622" s="20">
        <v>291666.6666666667</v>
      </c>
      <c r="F622" s="20"/>
      <c r="G622" s="20"/>
    </row>
    <row r="623">
      <c r="A623" s="8" t="s">
        <v>39</v>
      </c>
      <c r="B623" s="12" t="s">
        <v>9</v>
      </c>
      <c r="C623" s="12" t="s">
        <v>93</v>
      </c>
      <c r="D623" s="12">
        <v>3.0</v>
      </c>
      <c r="E623" s="20">
        <v>250000.0</v>
      </c>
      <c r="F623" s="20"/>
      <c r="G623" s="20"/>
    </row>
    <row r="624">
      <c r="A624" s="8" t="s">
        <v>40</v>
      </c>
      <c r="B624" s="12" t="s">
        <v>27</v>
      </c>
      <c r="C624" s="12" t="s">
        <v>93</v>
      </c>
      <c r="D624" s="12">
        <v>3.0</v>
      </c>
      <c r="E624" s="12">
        <f>J624*0.35*(-1)</f>
        <v>0</v>
      </c>
      <c r="F624" s="20"/>
      <c r="G624" s="20"/>
      <c r="J624" s="23">
        <f>E619+E646</f>
        <v>0</v>
      </c>
    </row>
    <row r="625">
      <c r="A625" s="8" t="s">
        <v>41</v>
      </c>
      <c r="B625" s="12" t="s">
        <v>9</v>
      </c>
      <c r="C625" s="12" t="s">
        <v>93</v>
      </c>
      <c r="D625" s="12">
        <v>3.0</v>
      </c>
      <c r="E625" s="12">
        <v>-83333.3333333333</v>
      </c>
      <c r="F625" s="20"/>
      <c r="G625" s="20"/>
    </row>
    <row r="626">
      <c r="A626" s="8" t="s">
        <v>52</v>
      </c>
      <c r="B626" s="12" t="s">
        <v>9</v>
      </c>
      <c r="C626" s="12" t="s">
        <v>93</v>
      </c>
      <c r="D626" s="12">
        <v>3.0</v>
      </c>
      <c r="E626" s="12">
        <v>-33333.3333333333</v>
      </c>
      <c r="F626" s="20"/>
      <c r="G626" s="20"/>
    </row>
    <row r="627">
      <c r="A627" s="8" t="s">
        <v>57</v>
      </c>
      <c r="B627" s="12" t="s">
        <v>9</v>
      </c>
      <c r="C627" s="12" t="s">
        <v>93</v>
      </c>
      <c r="D627" s="12">
        <v>3.0</v>
      </c>
      <c r="E627" s="12">
        <v>-320000.0</v>
      </c>
      <c r="F627" s="20"/>
      <c r="G627" s="20"/>
    </row>
    <row r="628">
      <c r="A628" s="2" t="s">
        <v>7</v>
      </c>
      <c r="B628" s="4" t="s">
        <v>9</v>
      </c>
      <c r="C628" s="4" t="s">
        <v>94</v>
      </c>
      <c r="D628" s="4">
        <v>4.0</v>
      </c>
      <c r="E628" s="83" t="str">
        <f>'Макшанова'!AJ414</f>
        <v/>
      </c>
      <c r="F628" s="95"/>
      <c r="G628" s="95"/>
    </row>
    <row r="629">
      <c r="A629" s="2" t="s">
        <v>32</v>
      </c>
      <c r="B629" s="4" t="s">
        <v>9</v>
      </c>
      <c r="C629" s="4" t="s">
        <v>94</v>
      </c>
      <c r="D629" s="4">
        <v>4.0</v>
      </c>
      <c r="E629" s="86">
        <v>36600.0</v>
      </c>
      <c r="F629" s="95"/>
      <c r="G629" s="95"/>
    </row>
    <row r="630">
      <c r="A630" s="2" t="s">
        <v>37</v>
      </c>
      <c r="B630" s="4" t="s">
        <v>9</v>
      </c>
      <c r="C630" s="4" t="s">
        <v>94</v>
      </c>
      <c r="D630" s="4">
        <v>4.0</v>
      </c>
      <c r="E630" s="86">
        <f>'Бюджет 2026'!S382/12</f>
        <v>0</v>
      </c>
      <c r="F630" s="95"/>
      <c r="G630" s="95"/>
    </row>
    <row r="631">
      <c r="A631" s="2" t="s">
        <v>38</v>
      </c>
      <c r="B631" s="4" t="s">
        <v>9</v>
      </c>
      <c r="C631" s="4" t="s">
        <v>94</v>
      </c>
      <c r="D631" s="4">
        <v>4.0</v>
      </c>
      <c r="E631" s="86">
        <f>'Бюджет 2026'!S383/12</f>
        <v>0</v>
      </c>
      <c r="F631" s="95"/>
      <c r="G631" s="95"/>
    </row>
    <row r="632">
      <c r="A632" s="2" t="s">
        <v>39</v>
      </c>
      <c r="B632" s="4" t="s">
        <v>9</v>
      </c>
      <c r="C632" s="4" t="s">
        <v>94</v>
      </c>
      <c r="D632" s="4">
        <v>4.0</v>
      </c>
      <c r="E632" s="86">
        <v>250000.0</v>
      </c>
      <c r="F632" s="95"/>
      <c r="G632" s="95"/>
    </row>
    <row r="633">
      <c r="A633" s="2" t="s">
        <v>40</v>
      </c>
      <c r="B633" s="4" t="s">
        <v>27</v>
      </c>
      <c r="C633" s="4" t="s">
        <v>94</v>
      </c>
      <c r="D633" s="4">
        <v>4.0</v>
      </c>
      <c r="E633" s="12" t="str">
        <f>J633*0.35*(-1)</f>
        <v>#VALUE!</v>
      </c>
      <c r="F633" s="95"/>
      <c r="G633" s="95"/>
      <c r="J633" s="23" t="str">
        <f>E628+E655</f>
        <v>#VALUE!</v>
      </c>
    </row>
    <row r="634">
      <c r="A634" s="2" t="s">
        <v>41</v>
      </c>
      <c r="B634" s="4" t="s">
        <v>9</v>
      </c>
      <c r="C634" s="4" t="s">
        <v>94</v>
      </c>
      <c r="D634" s="4">
        <v>4.0</v>
      </c>
      <c r="E634" s="83">
        <v>-83333.3333333333</v>
      </c>
      <c r="F634" s="95"/>
      <c r="G634" s="95"/>
    </row>
    <row r="635">
      <c r="A635" s="2" t="s">
        <v>52</v>
      </c>
      <c r="B635" s="4" t="s">
        <v>9</v>
      </c>
      <c r="C635" s="4" t="s">
        <v>94</v>
      </c>
      <c r="D635" s="4">
        <v>4.0</v>
      </c>
      <c r="E635" s="83">
        <v>-33333.3333333333</v>
      </c>
      <c r="F635" s="95"/>
      <c r="G635" s="95"/>
    </row>
    <row r="636">
      <c r="A636" s="2" t="s">
        <v>57</v>
      </c>
      <c r="B636" s="4" t="s">
        <v>9</v>
      </c>
      <c r="C636" s="4" t="s">
        <v>94</v>
      </c>
      <c r="D636" s="4">
        <v>4.0</v>
      </c>
      <c r="E636" s="83">
        <v>-320000.0</v>
      </c>
      <c r="F636" s="95"/>
      <c r="G636" s="95"/>
    </row>
    <row r="637">
      <c r="A637" s="8" t="s">
        <v>7</v>
      </c>
      <c r="B637" s="12" t="s">
        <v>9</v>
      </c>
      <c r="C637" s="12" t="s">
        <v>95</v>
      </c>
      <c r="D637" s="12">
        <v>4.0</v>
      </c>
      <c r="E637" s="12" t="str">
        <f>'Макшанова'!AM395</f>
        <v/>
      </c>
      <c r="F637" s="20"/>
      <c r="G637" s="20"/>
    </row>
    <row r="638">
      <c r="A638" s="8" t="s">
        <v>32</v>
      </c>
      <c r="B638" s="12" t="s">
        <v>9</v>
      </c>
      <c r="C638" s="12" t="s">
        <v>95</v>
      </c>
      <c r="D638" s="12">
        <v>4.0</v>
      </c>
      <c r="E638" s="20">
        <f>36600+6100</f>
        <v>42700</v>
      </c>
      <c r="F638" s="20"/>
      <c r="G638" s="20"/>
    </row>
    <row r="639">
      <c r="A639" s="8" t="s">
        <v>37</v>
      </c>
      <c r="B639" s="12" t="s">
        <v>9</v>
      </c>
      <c r="C639" s="12" t="s">
        <v>95</v>
      </c>
      <c r="D639" s="12">
        <v>4.0</v>
      </c>
      <c r="E639" s="20">
        <f>'Бюджет 2026'!S363/12</f>
        <v>0</v>
      </c>
      <c r="F639" s="20"/>
      <c r="G639" s="20"/>
    </row>
    <row r="640">
      <c r="A640" s="8" t="s">
        <v>38</v>
      </c>
      <c r="B640" s="12" t="s">
        <v>9</v>
      </c>
      <c r="C640" s="12" t="s">
        <v>95</v>
      </c>
      <c r="D640" s="12">
        <v>4.0</v>
      </c>
      <c r="E640" s="20">
        <f>'Бюджет 2026'!S364/12</f>
        <v>0</v>
      </c>
      <c r="F640" s="20"/>
      <c r="G640" s="20"/>
    </row>
    <row r="641">
      <c r="A641" s="8" t="s">
        <v>39</v>
      </c>
      <c r="B641" s="12" t="s">
        <v>9</v>
      </c>
      <c r="C641" s="12" t="s">
        <v>95</v>
      </c>
      <c r="D641" s="12">
        <v>4.0</v>
      </c>
      <c r="E641" s="20">
        <v>250000.0</v>
      </c>
      <c r="F641" s="20"/>
      <c r="G641" s="20"/>
    </row>
    <row r="642">
      <c r="A642" s="8" t="s">
        <v>40</v>
      </c>
      <c r="B642" s="12" t="s">
        <v>27</v>
      </c>
      <c r="C642" s="12" t="s">
        <v>95</v>
      </c>
      <c r="D642" s="12">
        <v>4.0</v>
      </c>
      <c r="E642" s="12">
        <f>J642*0.35*(-1)</f>
        <v>112000</v>
      </c>
      <c r="F642" s="20"/>
      <c r="G642" s="20"/>
      <c r="J642" s="23">
        <f>E637+E664</f>
        <v>-320000</v>
      </c>
    </row>
    <row r="643">
      <c r="A643" s="8" t="s">
        <v>41</v>
      </c>
      <c r="B643" s="12" t="s">
        <v>9</v>
      </c>
      <c r="C643" s="12" t="s">
        <v>95</v>
      </c>
      <c r="D643" s="12">
        <v>4.0</v>
      </c>
      <c r="E643" s="12">
        <v>-83333.3333333333</v>
      </c>
      <c r="F643" s="20"/>
      <c r="G643" s="20"/>
    </row>
    <row r="644">
      <c r="A644" s="8" t="s">
        <v>52</v>
      </c>
      <c r="B644" s="12" t="s">
        <v>9</v>
      </c>
      <c r="C644" s="12" t="s">
        <v>95</v>
      </c>
      <c r="D644" s="12">
        <v>4.0</v>
      </c>
      <c r="E644" s="12">
        <v>-33333.3333333333</v>
      </c>
      <c r="F644" s="20"/>
      <c r="G644" s="20"/>
    </row>
    <row r="645">
      <c r="A645" s="8" t="s">
        <v>57</v>
      </c>
      <c r="B645" s="12" t="s">
        <v>9</v>
      </c>
      <c r="C645" s="12" t="s">
        <v>95</v>
      </c>
      <c r="D645" s="12">
        <v>4.0</v>
      </c>
      <c r="E645" s="12">
        <v>-320000.0</v>
      </c>
      <c r="F645" s="20"/>
      <c r="G645" s="20"/>
    </row>
    <row r="646">
      <c r="A646" s="82" t="s">
        <v>7</v>
      </c>
      <c r="B646" s="4" t="s">
        <v>9</v>
      </c>
      <c r="C646" s="4" t="s">
        <v>96</v>
      </c>
      <c r="D646" s="4">
        <v>4.0</v>
      </c>
      <c r="E646" s="83" t="str">
        <f>'Макшанова'!AP376</f>
        <v/>
      </c>
      <c r="F646" s="95"/>
      <c r="G646" s="95"/>
    </row>
    <row r="647">
      <c r="A647" s="2" t="s">
        <v>32</v>
      </c>
      <c r="B647" s="4" t="s">
        <v>9</v>
      </c>
      <c r="C647" s="4" t="s">
        <v>96</v>
      </c>
      <c r="D647" s="4">
        <v>4.0</v>
      </c>
      <c r="E647" s="86">
        <f>36600+6100</f>
        <v>42700</v>
      </c>
      <c r="F647" s="95"/>
      <c r="G647" s="95"/>
    </row>
    <row r="648">
      <c r="A648" s="2" t="s">
        <v>37</v>
      </c>
      <c r="B648" s="4" t="s">
        <v>9</v>
      </c>
      <c r="C648" s="4" t="s">
        <v>96</v>
      </c>
      <c r="D648" s="4">
        <v>4.0</v>
      </c>
      <c r="E648" s="86">
        <f>'Бюджет 2026'!S344/12</f>
        <v>0</v>
      </c>
      <c r="F648" s="95"/>
      <c r="G648" s="95"/>
    </row>
    <row r="649">
      <c r="A649" s="82" t="s">
        <v>38</v>
      </c>
      <c r="B649" s="4" t="s">
        <v>9</v>
      </c>
      <c r="C649" s="4" t="s">
        <v>96</v>
      </c>
      <c r="D649" s="4">
        <v>4.0</v>
      </c>
      <c r="E649" s="86">
        <f>'Бюджет 2026'!S345/12</f>
        <v>0</v>
      </c>
      <c r="F649" s="95"/>
      <c r="G649" s="95"/>
    </row>
    <row r="650">
      <c r="A650" s="82" t="s">
        <v>39</v>
      </c>
      <c r="B650" s="4" t="s">
        <v>9</v>
      </c>
      <c r="C650" s="4" t="s">
        <v>96</v>
      </c>
      <c r="D650" s="4">
        <v>4.0</v>
      </c>
      <c r="E650" s="86">
        <v>250000.0</v>
      </c>
      <c r="F650" s="95"/>
      <c r="G650" s="95"/>
    </row>
    <row r="651">
      <c r="A651" s="82" t="s">
        <v>40</v>
      </c>
      <c r="B651" s="4" t="s">
        <v>27</v>
      </c>
      <c r="C651" s="4" t="s">
        <v>96</v>
      </c>
      <c r="D651" s="4">
        <v>4.0</v>
      </c>
      <c r="E651" s="12">
        <f>J651*0.35*(-1)</f>
        <v>112000</v>
      </c>
      <c r="F651" s="95"/>
      <c r="G651" s="95"/>
      <c r="J651" s="23">
        <f>E646+E673</f>
        <v>-320000</v>
      </c>
    </row>
    <row r="652">
      <c r="A652" s="82" t="s">
        <v>41</v>
      </c>
      <c r="B652" s="4" t="s">
        <v>9</v>
      </c>
      <c r="C652" s="4" t="s">
        <v>96</v>
      </c>
      <c r="D652" s="4">
        <v>4.0</v>
      </c>
      <c r="E652" s="83">
        <v>-83333.3333333333</v>
      </c>
      <c r="F652" s="95"/>
      <c r="G652" s="95"/>
    </row>
    <row r="653">
      <c r="A653" s="2" t="s">
        <v>52</v>
      </c>
      <c r="B653" s="4" t="s">
        <v>9</v>
      </c>
      <c r="C653" s="4" t="s">
        <v>96</v>
      </c>
      <c r="D653" s="4">
        <v>4.0</v>
      </c>
      <c r="E653" s="83">
        <v>-33333.3333333333</v>
      </c>
      <c r="F653" s="95"/>
      <c r="G653" s="95"/>
    </row>
    <row r="654">
      <c r="A654" s="2" t="s">
        <v>57</v>
      </c>
      <c r="B654" s="4" t="s">
        <v>9</v>
      </c>
      <c r="C654" s="4" t="s">
        <v>96</v>
      </c>
      <c r="D654" s="4">
        <v>4.0</v>
      </c>
      <c r="E654" s="83">
        <v>-320000.0</v>
      </c>
      <c r="F654" s="95"/>
      <c r="G654" s="95"/>
    </row>
    <row r="655">
      <c r="A655" s="2">
        <v>0.0</v>
      </c>
      <c r="B655" s="4" t="s">
        <v>0</v>
      </c>
      <c r="C655" s="4" t="s">
        <v>2</v>
      </c>
      <c r="D655" s="4" t="s">
        <v>3</v>
      </c>
      <c r="E655" s="4" t="s">
        <v>4</v>
      </c>
      <c r="F655" s="4" t="s">
        <v>5</v>
      </c>
      <c r="G655" s="4" t="s">
        <v>6</v>
      </c>
    </row>
    <row r="656">
      <c r="A656" s="8" t="s">
        <v>7</v>
      </c>
      <c r="B656" s="12" t="s">
        <v>9</v>
      </c>
      <c r="C656" s="12" t="s">
        <v>10</v>
      </c>
      <c r="D656" s="12">
        <v>1.0</v>
      </c>
      <c r="E656" s="20" t="str">
        <f>'Макшанова'!H694</f>
        <v/>
      </c>
      <c r="F656" s="20"/>
      <c r="G656" s="20"/>
    </row>
    <row r="657">
      <c r="A657" s="8" t="s">
        <v>32</v>
      </c>
      <c r="B657" s="12" t="s">
        <v>9</v>
      </c>
      <c r="C657" s="12" t="s">
        <v>10</v>
      </c>
      <c r="D657" s="12">
        <v>1.0</v>
      </c>
      <c r="E657" s="20">
        <f>6100*4</f>
        <v>24400</v>
      </c>
      <c r="F657" s="20"/>
      <c r="G657" s="20"/>
    </row>
    <row r="658">
      <c r="A658" s="8" t="s">
        <v>37</v>
      </c>
      <c r="B658" s="12" t="s">
        <v>9</v>
      </c>
      <c r="C658" s="12" t="s">
        <v>10</v>
      </c>
      <c r="D658" s="12">
        <v>1.0</v>
      </c>
      <c r="E658" s="12">
        <f>'Бюджет 2026'!S662/12</f>
        <v>0</v>
      </c>
      <c r="F658" s="20"/>
      <c r="G658" s="20"/>
    </row>
    <row r="659">
      <c r="A659" s="8" t="s">
        <v>38</v>
      </c>
      <c r="B659" s="12" t="s">
        <v>9</v>
      </c>
      <c r="C659" s="12" t="s">
        <v>10</v>
      </c>
      <c r="D659" s="12">
        <v>1.0</v>
      </c>
      <c r="E659" s="20">
        <f>'Бюджет 2026'!S663/12</f>
        <v>0</v>
      </c>
      <c r="F659" s="20"/>
      <c r="G659" s="20"/>
    </row>
    <row r="660">
      <c r="A660" s="8" t="s">
        <v>39</v>
      </c>
      <c r="B660" s="12" t="s">
        <v>9</v>
      </c>
      <c r="C660" s="12" t="s">
        <v>10</v>
      </c>
      <c r="D660" s="12">
        <v>1.0</v>
      </c>
      <c r="E660" s="20">
        <f>59000*2</f>
        <v>118000</v>
      </c>
      <c r="F660" s="20"/>
      <c r="G660" s="20"/>
    </row>
    <row r="661">
      <c r="A661" s="8" t="s">
        <v>40</v>
      </c>
      <c r="B661" s="12" t="s">
        <v>27</v>
      </c>
      <c r="C661" s="12" t="s">
        <v>10</v>
      </c>
      <c r="D661" s="12">
        <v>1.0</v>
      </c>
      <c r="E661" s="12">
        <f>J661*0.35*(-1)</f>
        <v>0</v>
      </c>
      <c r="F661" s="20"/>
      <c r="G661" s="20"/>
      <c r="J661" s="23">
        <f>E656+E683</f>
        <v>0</v>
      </c>
    </row>
    <row r="662">
      <c r="A662" s="8" t="s">
        <v>41</v>
      </c>
      <c r="B662" s="12" t="s">
        <v>9</v>
      </c>
      <c r="C662" s="12" t="s">
        <v>10</v>
      </c>
      <c r="D662" s="12">
        <v>1.0</v>
      </c>
      <c r="E662" s="20"/>
      <c r="F662" s="20"/>
      <c r="G662" s="20"/>
    </row>
    <row r="663">
      <c r="A663" s="8" t="s">
        <v>52</v>
      </c>
      <c r="B663" s="12" t="s">
        <v>9</v>
      </c>
      <c r="C663" s="12" t="s">
        <v>10</v>
      </c>
      <c r="D663" s="12">
        <v>1.0</v>
      </c>
      <c r="E663" s="12">
        <v>-20000.0</v>
      </c>
      <c r="F663" s="20"/>
      <c r="G663" s="20"/>
    </row>
    <row r="664">
      <c r="A664" s="8" t="s">
        <v>57</v>
      </c>
      <c r="B664" s="12" t="s">
        <v>9</v>
      </c>
      <c r="C664" s="12" t="s">
        <v>10</v>
      </c>
      <c r="D664" s="12">
        <v>1.0</v>
      </c>
      <c r="E664" s="12">
        <v>-320000.0</v>
      </c>
      <c r="F664" s="20"/>
      <c r="G664" s="20"/>
    </row>
    <row r="665">
      <c r="A665" s="2" t="s">
        <v>7</v>
      </c>
      <c r="B665" s="4" t="s">
        <v>9</v>
      </c>
      <c r="C665" s="4" t="s">
        <v>76</v>
      </c>
      <c r="D665" s="4">
        <v>1.0</v>
      </c>
      <c r="E665" s="4" t="str">
        <f>'Макшанова'!L675</f>
        <v/>
      </c>
      <c r="F665" s="95"/>
      <c r="G665" s="95"/>
    </row>
    <row r="666">
      <c r="A666" s="2" t="s">
        <v>32</v>
      </c>
      <c r="B666" s="4" t="s">
        <v>9</v>
      </c>
      <c r="C666" s="4" t="s">
        <v>76</v>
      </c>
      <c r="D666" s="4">
        <v>1.0</v>
      </c>
      <c r="E666" s="4">
        <v>30500.0</v>
      </c>
      <c r="F666" s="95"/>
      <c r="G666" s="95"/>
    </row>
    <row r="667">
      <c r="A667" s="2" t="s">
        <v>37</v>
      </c>
      <c r="B667" s="4" t="s">
        <v>9</v>
      </c>
      <c r="C667" s="4" t="s">
        <v>76</v>
      </c>
      <c r="D667" s="4">
        <v>1.0</v>
      </c>
      <c r="E667" s="95">
        <f>'Бюджет 2026'!S643/12</f>
        <v>0</v>
      </c>
      <c r="F667" s="95"/>
      <c r="G667" s="95"/>
    </row>
    <row r="668">
      <c r="A668" s="2" t="s">
        <v>38</v>
      </c>
      <c r="B668" s="4" t="s">
        <v>9</v>
      </c>
      <c r="C668" s="4" t="s">
        <v>76</v>
      </c>
      <c r="D668" s="4">
        <v>1.0</v>
      </c>
      <c r="E668" s="95">
        <f>'Бюджет 2026'!S644/12</f>
        <v>0</v>
      </c>
      <c r="F668" s="95"/>
      <c r="G668" s="95"/>
    </row>
    <row r="669">
      <c r="A669" s="2" t="s">
        <v>39</v>
      </c>
      <c r="B669" s="4" t="s">
        <v>9</v>
      </c>
      <c r="C669" s="4" t="s">
        <v>76</v>
      </c>
      <c r="D669" s="4">
        <v>1.0</v>
      </c>
      <c r="E669" s="95">
        <f>59000*3</f>
        <v>177000</v>
      </c>
      <c r="F669" s="95"/>
      <c r="G669" s="95"/>
    </row>
    <row r="670">
      <c r="A670" s="2" t="s">
        <v>40</v>
      </c>
      <c r="B670" s="4" t="s">
        <v>27</v>
      </c>
      <c r="C670" s="4" t="s">
        <v>76</v>
      </c>
      <c r="D670" s="4">
        <v>1.0</v>
      </c>
      <c r="E670" s="12">
        <f>J670*0.35*(-1)</f>
        <v>0</v>
      </c>
      <c r="F670" s="95"/>
      <c r="G670" s="95"/>
      <c r="J670" s="23">
        <f>E665+E692</f>
        <v>0</v>
      </c>
    </row>
    <row r="671">
      <c r="A671" s="2" t="s">
        <v>41</v>
      </c>
      <c r="B671" s="4" t="s">
        <v>9</v>
      </c>
      <c r="C671" s="4" t="s">
        <v>76</v>
      </c>
      <c r="D671" s="4">
        <v>1.0</v>
      </c>
      <c r="E671" s="4">
        <v>-113636.363636364</v>
      </c>
      <c r="F671" s="95"/>
      <c r="G671" s="95"/>
    </row>
    <row r="672">
      <c r="A672" s="2" t="s">
        <v>52</v>
      </c>
      <c r="B672" s="4" t="s">
        <v>9</v>
      </c>
      <c r="C672" s="4" t="s">
        <v>76</v>
      </c>
      <c r="D672" s="4">
        <v>1.0</v>
      </c>
      <c r="E672" s="83">
        <v>-33333.3333333333</v>
      </c>
      <c r="F672" s="95"/>
      <c r="G672" s="95"/>
    </row>
    <row r="673">
      <c r="A673" s="2" t="s">
        <v>57</v>
      </c>
      <c r="B673" s="4" t="s">
        <v>9</v>
      </c>
      <c r="C673" s="4" t="s">
        <v>76</v>
      </c>
      <c r="D673" s="4">
        <v>1.0</v>
      </c>
      <c r="E673" s="83">
        <v>-320000.0</v>
      </c>
      <c r="F673" s="95"/>
      <c r="G673" s="95"/>
    </row>
    <row r="674">
      <c r="A674" s="8" t="s">
        <v>7</v>
      </c>
      <c r="B674" s="12" t="s">
        <v>9</v>
      </c>
      <c r="C674" s="12" t="s">
        <v>88</v>
      </c>
      <c r="D674" s="12">
        <v>1.0</v>
      </c>
      <c r="E674" s="20" t="str">
        <f>'Макшанова'!O656</f>
        <v/>
      </c>
      <c r="F674" s="20"/>
      <c r="G674" s="20"/>
    </row>
    <row r="675">
      <c r="A675" s="8" t="s">
        <v>32</v>
      </c>
      <c r="B675" s="12" t="s">
        <v>9</v>
      </c>
      <c r="C675" s="12" t="s">
        <v>88</v>
      </c>
      <c r="D675" s="12">
        <v>1.0</v>
      </c>
      <c r="E675" s="12">
        <f>30500+6100</f>
        <v>36600</v>
      </c>
      <c r="F675" s="20"/>
      <c r="G675" s="20"/>
    </row>
    <row r="676">
      <c r="A676" s="8" t="s">
        <v>37</v>
      </c>
      <c r="B676" s="12" t="s">
        <v>9</v>
      </c>
      <c r="C676" s="12" t="s">
        <v>88</v>
      </c>
      <c r="D676" s="12">
        <v>1.0</v>
      </c>
      <c r="E676" s="20">
        <f>'Бюджет 2026'!S624/12</f>
        <v>0</v>
      </c>
      <c r="F676" s="20"/>
      <c r="G676" s="20"/>
    </row>
    <row r="677">
      <c r="A677" s="8" t="s">
        <v>38</v>
      </c>
      <c r="B677" s="12" t="s">
        <v>9</v>
      </c>
      <c r="C677" s="12" t="s">
        <v>88</v>
      </c>
      <c r="D677" s="12">
        <v>1.0</v>
      </c>
      <c r="E677" s="20">
        <f>'Бюджет 2026'!S625/12</f>
        <v>0</v>
      </c>
      <c r="F677" s="20"/>
      <c r="G677" s="20"/>
    </row>
    <row r="678">
      <c r="A678" s="8" t="s">
        <v>39</v>
      </c>
      <c r="B678" s="12" t="s">
        <v>9</v>
      </c>
      <c r="C678" s="12" t="s">
        <v>88</v>
      </c>
      <c r="D678" s="12">
        <v>1.0</v>
      </c>
      <c r="E678" s="20">
        <f>'Бюджет 2026'!S626/12</f>
        <v>0</v>
      </c>
      <c r="F678" s="20"/>
      <c r="G678" s="20"/>
    </row>
    <row r="679">
      <c r="A679" s="8" t="s">
        <v>40</v>
      </c>
      <c r="B679" s="12" t="s">
        <v>27</v>
      </c>
      <c r="C679" s="12" t="s">
        <v>88</v>
      </c>
      <c r="D679" s="12">
        <v>1.0</v>
      </c>
      <c r="E679" s="12">
        <f>J679*0.35*(-1)</f>
        <v>0</v>
      </c>
      <c r="F679" s="20"/>
      <c r="G679" s="20"/>
      <c r="J679" s="23">
        <f>E674+E701</f>
        <v>0</v>
      </c>
    </row>
    <row r="680">
      <c r="A680" s="8" t="s">
        <v>41</v>
      </c>
      <c r="B680" s="12" t="s">
        <v>9</v>
      </c>
      <c r="C680" s="12" t="s">
        <v>88</v>
      </c>
      <c r="D680" s="12">
        <v>1.0</v>
      </c>
      <c r="E680" s="12">
        <v>-227272.727272727</v>
      </c>
      <c r="F680" s="20"/>
      <c r="G680" s="20"/>
    </row>
    <row r="681">
      <c r="A681" s="8" t="s">
        <v>52</v>
      </c>
      <c r="B681" s="12" t="s">
        <v>9</v>
      </c>
      <c r="C681" s="12" t="s">
        <v>88</v>
      </c>
      <c r="D681" s="12">
        <v>1.0</v>
      </c>
      <c r="E681" s="12">
        <v>-33333.3333333333</v>
      </c>
      <c r="F681" s="20"/>
      <c r="G681" s="20"/>
    </row>
    <row r="682">
      <c r="A682" s="8" t="s">
        <v>57</v>
      </c>
      <c r="B682" s="12" t="s">
        <v>9</v>
      </c>
      <c r="C682" s="12" t="s">
        <v>88</v>
      </c>
      <c r="D682" s="12">
        <v>1.0</v>
      </c>
      <c r="E682" s="12">
        <v>-320000.0</v>
      </c>
      <c r="F682" s="20"/>
      <c r="G682" s="20"/>
    </row>
    <row r="683">
      <c r="A683" s="2" t="s">
        <v>7</v>
      </c>
      <c r="B683" s="4" t="s">
        <v>9</v>
      </c>
      <c r="C683" s="4" t="s">
        <v>89</v>
      </c>
      <c r="D683" s="4">
        <v>2.0</v>
      </c>
      <c r="E683" s="86" t="str">
        <f>'Макшанова'!R637</f>
        <v/>
      </c>
      <c r="F683" s="95"/>
      <c r="G683" s="95"/>
    </row>
    <row r="684">
      <c r="A684" s="2" t="s">
        <v>32</v>
      </c>
      <c r="B684" s="4" t="s">
        <v>9</v>
      </c>
      <c r="C684" s="4" t="s">
        <v>89</v>
      </c>
      <c r="D684" s="4">
        <v>2.0</v>
      </c>
      <c r="E684" s="83">
        <f>30500+6100</f>
        <v>36600</v>
      </c>
      <c r="F684" s="95"/>
      <c r="G684" s="95"/>
    </row>
    <row r="685">
      <c r="A685" s="2" t="s">
        <v>37</v>
      </c>
      <c r="B685" s="4" t="s">
        <v>9</v>
      </c>
      <c r="C685" s="4" t="s">
        <v>89</v>
      </c>
      <c r="D685" s="4">
        <v>2.0</v>
      </c>
      <c r="E685" s="86">
        <f>'Бюджет 2026'!S605/12</f>
        <v>0</v>
      </c>
      <c r="F685" s="95"/>
      <c r="G685" s="95"/>
    </row>
    <row r="686">
      <c r="A686" s="2" t="s">
        <v>38</v>
      </c>
      <c r="B686" s="4" t="s">
        <v>9</v>
      </c>
      <c r="C686" s="4" t="s">
        <v>89</v>
      </c>
      <c r="D686" s="4">
        <v>2.0</v>
      </c>
      <c r="E686" s="86">
        <f>'Бюджет 2026'!S606/12</f>
        <v>0</v>
      </c>
      <c r="F686" s="95"/>
      <c r="G686" s="95"/>
    </row>
    <row r="687">
      <c r="A687" s="2" t="s">
        <v>39</v>
      </c>
      <c r="B687" s="4" t="s">
        <v>9</v>
      </c>
      <c r="C687" s="4" t="s">
        <v>89</v>
      </c>
      <c r="D687" s="4">
        <v>2.0</v>
      </c>
      <c r="E687" s="86">
        <f>'Бюджет 2026'!S634/12</f>
        <v>0</v>
      </c>
      <c r="F687" s="95"/>
      <c r="G687" s="95"/>
    </row>
    <row r="688">
      <c r="A688" s="2" t="s">
        <v>40</v>
      </c>
      <c r="B688" s="4" t="s">
        <v>27</v>
      </c>
      <c r="C688" s="4" t="s">
        <v>89</v>
      </c>
      <c r="D688" s="4">
        <v>2.0</v>
      </c>
      <c r="E688" s="12">
        <f>J688*0.35*(-1)</f>
        <v>0</v>
      </c>
      <c r="F688" s="95"/>
      <c r="G688" s="95"/>
      <c r="J688" s="23">
        <f>E683+E710</f>
        <v>0</v>
      </c>
    </row>
    <row r="689">
      <c r="A689" s="2" t="s">
        <v>41</v>
      </c>
      <c r="B689" s="4" t="s">
        <v>9</v>
      </c>
      <c r="C689" s="4" t="s">
        <v>89</v>
      </c>
      <c r="D689" s="4">
        <v>2.0</v>
      </c>
      <c r="E689" s="83">
        <v>-170181.818181818</v>
      </c>
      <c r="F689" s="95"/>
      <c r="G689" s="95"/>
    </row>
    <row r="690">
      <c r="A690" s="2" t="s">
        <v>52</v>
      </c>
      <c r="B690" s="4" t="s">
        <v>9</v>
      </c>
      <c r="C690" s="4" t="s">
        <v>89</v>
      </c>
      <c r="D690" s="4">
        <v>2.0</v>
      </c>
      <c r="E690" s="83">
        <v>-33333.3333333333</v>
      </c>
      <c r="F690" s="95"/>
      <c r="G690" s="95"/>
    </row>
    <row r="691">
      <c r="A691" s="2" t="s">
        <v>57</v>
      </c>
      <c r="B691" s="4" t="s">
        <v>9</v>
      </c>
      <c r="C691" s="4" t="s">
        <v>89</v>
      </c>
      <c r="D691" s="4">
        <v>2.0</v>
      </c>
      <c r="E691" s="83">
        <v>-320000.0</v>
      </c>
      <c r="F691" s="95"/>
      <c r="G691" s="95"/>
    </row>
    <row r="692">
      <c r="A692" s="8" t="s">
        <v>7</v>
      </c>
      <c r="B692" s="12" t="s">
        <v>9</v>
      </c>
      <c r="C692" s="12" t="s">
        <v>28</v>
      </c>
      <c r="D692" s="12">
        <v>2.0</v>
      </c>
      <c r="E692" s="20" t="str">
        <f>'Макшанова'!R618</f>
        <v/>
      </c>
      <c r="F692" s="20"/>
      <c r="G692" s="20"/>
    </row>
    <row r="693">
      <c r="A693" s="8" t="s">
        <v>32</v>
      </c>
      <c r="B693" s="12" t="s">
        <v>9</v>
      </c>
      <c r="C693" s="12" t="s">
        <v>28</v>
      </c>
      <c r="D693" s="12">
        <v>2.0</v>
      </c>
      <c r="E693" s="12">
        <v>36600.0</v>
      </c>
      <c r="F693" s="20"/>
      <c r="G693" s="20"/>
    </row>
    <row r="694">
      <c r="A694" s="8" t="s">
        <v>37</v>
      </c>
      <c r="B694" s="12" t="s">
        <v>9</v>
      </c>
      <c r="C694" s="12" t="s">
        <v>28</v>
      </c>
      <c r="D694" s="12">
        <v>2.0</v>
      </c>
      <c r="E694" s="20">
        <f>'Бюджет 2026'!S586/12</f>
        <v>0</v>
      </c>
      <c r="F694" s="20"/>
      <c r="G694" s="20"/>
    </row>
    <row r="695">
      <c r="A695" s="8" t="s">
        <v>38</v>
      </c>
      <c r="B695" s="12" t="s">
        <v>9</v>
      </c>
      <c r="C695" s="12" t="s">
        <v>28</v>
      </c>
      <c r="D695" s="12">
        <v>2.0</v>
      </c>
      <c r="E695" s="20">
        <f>'Бюджет 2026'!S587/12</f>
        <v>0</v>
      </c>
      <c r="F695" s="20"/>
      <c r="G695" s="20"/>
    </row>
    <row r="696">
      <c r="A696" s="8" t="s">
        <v>39</v>
      </c>
      <c r="B696" s="12" t="s">
        <v>9</v>
      </c>
      <c r="C696" s="12" t="s">
        <v>28</v>
      </c>
      <c r="D696" s="12">
        <v>2.0</v>
      </c>
      <c r="E696" s="20">
        <f>'Бюджет 2026'!S588/12</f>
        <v>0</v>
      </c>
      <c r="F696" s="20"/>
      <c r="G696" s="20"/>
    </row>
    <row r="697">
      <c r="A697" s="8" t="s">
        <v>40</v>
      </c>
      <c r="B697" s="12" t="s">
        <v>27</v>
      </c>
      <c r="C697" s="12" t="s">
        <v>28</v>
      </c>
      <c r="D697" s="12">
        <v>2.0</v>
      </c>
      <c r="E697" s="12">
        <f>J697*0.35*(-1)</f>
        <v>0</v>
      </c>
      <c r="F697" s="20"/>
      <c r="G697" s="20"/>
      <c r="J697" s="23">
        <f>E692+E719</f>
        <v>0</v>
      </c>
    </row>
    <row r="698">
      <c r="A698" s="8" t="s">
        <v>41</v>
      </c>
      <c r="B698" s="12" t="s">
        <v>9</v>
      </c>
      <c r="C698" s="12" t="s">
        <v>28</v>
      </c>
      <c r="D698" s="12">
        <v>2.0</v>
      </c>
      <c r="E698" s="12">
        <v>-104166.666666667</v>
      </c>
      <c r="F698" s="20"/>
      <c r="G698" s="20"/>
    </row>
    <row r="699">
      <c r="A699" s="8" t="s">
        <v>52</v>
      </c>
      <c r="B699" s="12" t="s">
        <v>9</v>
      </c>
      <c r="C699" s="12" t="s">
        <v>28</v>
      </c>
      <c r="D699" s="12">
        <v>2.0</v>
      </c>
      <c r="E699" s="12">
        <v>-33333.3333333333</v>
      </c>
      <c r="F699" s="20"/>
      <c r="G699" s="20"/>
    </row>
    <row r="700">
      <c r="A700" s="8" t="s">
        <v>57</v>
      </c>
      <c r="B700" s="12" t="s">
        <v>9</v>
      </c>
      <c r="C700" s="12" t="s">
        <v>28</v>
      </c>
      <c r="D700" s="12">
        <v>2.0</v>
      </c>
      <c r="E700" s="12">
        <v>-320000.0</v>
      </c>
      <c r="F700" s="20"/>
      <c r="G700" s="20"/>
    </row>
    <row r="701">
      <c r="A701" s="82" t="s">
        <v>7</v>
      </c>
      <c r="B701" s="83" t="s">
        <v>9</v>
      </c>
      <c r="C701" s="83" t="s">
        <v>90</v>
      </c>
      <c r="D701" s="83">
        <v>2.0</v>
      </c>
      <c r="E701" s="83" t="str">
        <f>'Макшанова'!X599</f>
        <v/>
      </c>
      <c r="F701" s="86"/>
      <c r="G701" s="86"/>
    </row>
    <row r="702">
      <c r="A702" s="82" t="s">
        <v>32</v>
      </c>
      <c r="B702" s="83" t="s">
        <v>9</v>
      </c>
      <c r="C702" s="83" t="s">
        <v>90</v>
      </c>
      <c r="D702" s="83">
        <v>2.0</v>
      </c>
      <c r="E702" s="86" t="str">
        <f>E646</f>
        <v/>
      </c>
      <c r="F702" s="86"/>
      <c r="G702" s="86"/>
    </row>
    <row r="703">
      <c r="A703" s="82" t="s">
        <v>37</v>
      </c>
      <c r="B703" s="83" t="s">
        <v>9</v>
      </c>
      <c r="C703" s="83" t="s">
        <v>90</v>
      </c>
      <c r="D703" s="83">
        <v>2.0</v>
      </c>
      <c r="E703" s="86">
        <v>208333.33333333334</v>
      </c>
      <c r="F703" s="86"/>
      <c r="G703" s="86"/>
    </row>
    <row r="704">
      <c r="A704" s="82" t="s">
        <v>38</v>
      </c>
      <c r="B704" s="83" t="s">
        <v>9</v>
      </c>
      <c r="C704" s="83" t="s">
        <v>90</v>
      </c>
      <c r="D704" s="83">
        <v>2.0</v>
      </c>
      <c r="E704" s="86">
        <v>291666.6666666667</v>
      </c>
      <c r="F704" s="86"/>
      <c r="G704" s="86"/>
    </row>
    <row r="705">
      <c r="A705" s="82" t="s">
        <v>39</v>
      </c>
      <c r="B705" s="83" t="s">
        <v>9</v>
      </c>
      <c r="C705" s="83" t="s">
        <v>90</v>
      </c>
      <c r="D705" s="83">
        <v>2.0</v>
      </c>
      <c r="E705" s="86">
        <f>E677</f>
        <v>0</v>
      </c>
      <c r="F705" s="86"/>
      <c r="G705" s="86"/>
    </row>
    <row r="706">
      <c r="A706" s="82" t="s">
        <v>40</v>
      </c>
      <c r="B706" s="83" t="s">
        <v>27</v>
      </c>
      <c r="C706" s="83" t="s">
        <v>90</v>
      </c>
      <c r="D706" s="83">
        <v>2.0</v>
      </c>
      <c r="E706" s="12">
        <f>J706*0.35*(-1)</f>
        <v>0</v>
      </c>
      <c r="F706" s="86"/>
      <c r="G706" s="86"/>
      <c r="J706" s="23">
        <f>E701+E728</f>
        <v>0</v>
      </c>
    </row>
    <row r="707">
      <c r="A707" s="82" t="s">
        <v>41</v>
      </c>
      <c r="B707" s="83" t="s">
        <v>9</v>
      </c>
      <c r="C707" s="83" t="s">
        <v>90</v>
      </c>
      <c r="D707" s="83">
        <v>2.0</v>
      </c>
      <c r="E707" s="83">
        <v>-83333.3333333333</v>
      </c>
      <c r="F707" s="86"/>
      <c r="G707" s="86"/>
    </row>
    <row r="708">
      <c r="A708" s="82" t="s">
        <v>52</v>
      </c>
      <c r="B708" s="83" t="s">
        <v>9</v>
      </c>
      <c r="C708" s="83" t="s">
        <v>90</v>
      </c>
      <c r="D708" s="83">
        <v>2.0</v>
      </c>
      <c r="E708" s="83">
        <v>-33333.3333333333</v>
      </c>
      <c r="F708" s="86"/>
      <c r="G708" s="86"/>
    </row>
    <row r="709">
      <c r="A709" s="82" t="s">
        <v>57</v>
      </c>
      <c r="B709" s="83" t="s">
        <v>9</v>
      </c>
      <c r="C709" s="83" t="s">
        <v>90</v>
      </c>
      <c r="D709" s="83">
        <v>2.0</v>
      </c>
      <c r="E709" s="83">
        <v>-320000.0</v>
      </c>
      <c r="F709" s="86"/>
      <c r="G709" s="86"/>
    </row>
    <row r="710">
      <c r="A710" s="8" t="s">
        <v>7</v>
      </c>
      <c r="B710" s="12" t="s">
        <v>9</v>
      </c>
      <c r="C710" s="12" t="s">
        <v>91</v>
      </c>
      <c r="D710" s="12">
        <v>3.0</v>
      </c>
      <c r="E710" s="12" t="str">
        <f>'Макшанова'!AA580</f>
        <v/>
      </c>
      <c r="F710" s="20"/>
      <c r="G710" s="20"/>
    </row>
    <row r="711">
      <c r="A711" s="8" t="s">
        <v>32</v>
      </c>
      <c r="B711" s="12" t="s">
        <v>9</v>
      </c>
      <c r="C711" s="12" t="s">
        <v>91</v>
      </c>
      <c r="D711" s="12">
        <v>3.0</v>
      </c>
      <c r="E711" s="20">
        <f>36600+3500</f>
        <v>40100</v>
      </c>
      <c r="F711" s="20"/>
      <c r="G711" s="20"/>
    </row>
    <row r="712">
      <c r="A712" s="8" t="s">
        <v>37</v>
      </c>
      <c r="B712" s="12" t="s">
        <v>9</v>
      </c>
      <c r="C712" s="12" t="s">
        <v>91</v>
      </c>
      <c r="D712" s="12">
        <v>3.0</v>
      </c>
      <c r="E712" s="20">
        <f>'Бюджет 2026'!S548/12</f>
        <v>0</v>
      </c>
      <c r="F712" s="20"/>
      <c r="G712" s="20"/>
    </row>
    <row r="713">
      <c r="A713" s="8" t="s">
        <v>38</v>
      </c>
      <c r="B713" s="12" t="s">
        <v>9</v>
      </c>
      <c r="C713" s="12" t="s">
        <v>91</v>
      </c>
      <c r="D713" s="12">
        <v>3.0</v>
      </c>
      <c r="E713" s="20">
        <v>291666.6666666667</v>
      </c>
      <c r="F713" s="20"/>
      <c r="G713" s="20"/>
    </row>
    <row r="714">
      <c r="A714" s="8" t="s">
        <v>39</v>
      </c>
      <c r="B714" s="12" t="s">
        <v>9</v>
      </c>
      <c r="C714" s="12" t="s">
        <v>91</v>
      </c>
      <c r="D714" s="12">
        <v>3.0</v>
      </c>
      <c r="E714" s="20">
        <v>250000.0</v>
      </c>
      <c r="F714" s="20"/>
      <c r="G714" s="20"/>
    </row>
    <row r="715">
      <c r="A715" s="8" t="s">
        <v>40</v>
      </c>
      <c r="B715" s="12" t="s">
        <v>27</v>
      </c>
      <c r="C715" s="12" t="s">
        <v>91</v>
      </c>
      <c r="D715" s="12">
        <v>3.0</v>
      </c>
      <c r="E715" s="12">
        <f>J715*0.35*(-1)</f>
        <v>0</v>
      </c>
      <c r="F715" s="20"/>
      <c r="G715" s="20"/>
      <c r="J715" s="23">
        <f>E710+E737</f>
        <v>0</v>
      </c>
    </row>
    <row r="716">
      <c r="A716" s="8" t="s">
        <v>41</v>
      </c>
      <c r="B716" s="12" t="s">
        <v>9</v>
      </c>
      <c r="C716" s="12" t="s">
        <v>91</v>
      </c>
      <c r="D716" s="12">
        <v>3.0</v>
      </c>
      <c r="E716" s="12">
        <v>-83333.3333333333</v>
      </c>
      <c r="F716" s="20"/>
      <c r="G716" s="20"/>
    </row>
    <row r="717">
      <c r="A717" s="8" t="s">
        <v>52</v>
      </c>
      <c r="B717" s="12" t="s">
        <v>9</v>
      </c>
      <c r="C717" s="12" t="s">
        <v>91</v>
      </c>
      <c r="D717" s="12">
        <v>3.0</v>
      </c>
      <c r="E717" s="12">
        <v>-33333.3333333333</v>
      </c>
      <c r="F717" s="20"/>
      <c r="G717" s="20"/>
    </row>
    <row r="718">
      <c r="A718" s="8" t="s">
        <v>57</v>
      </c>
      <c r="B718" s="12" t="s">
        <v>9</v>
      </c>
      <c r="C718" s="12" t="s">
        <v>91</v>
      </c>
      <c r="D718" s="12">
        <v>3.0</v>
      </c>
      <c r="E718" s="12">
        <v>-320000.0</v>
      </c>
      <c r="F718" s="20"/>
      <c r="G718" s="20"/>
    </row>
    <row r="719">
      <c r="A719" s="2" t="s">
        <v>7</v>
      </c>
      <c r="B719" s="4" t="s">
        <v>9</v>
      </c>
      <c r="C719" s="4" t="s">
        <v>92</v>
      </c>
      <c r="D719" s="4">
        <v>3.0</v>
      </c>
      <c r="E719" s="4" t="str">
        <f>'Макшанова'!AD561</f>
        <v/>
      </c>
      <c r="F719" s="95"/>
      <c r="G719" s="95"/>
    </row>
    <row r="720">
      <c r="A720" s="2" t="s">
        <v>32</v>
      </c>
      <c r="B720" s="4" t="s">
        <v>9</v>
      </c>
      <c r="C720" s="4" t="s">
        <v>92</v>
      </c>
      <c r="D720" s="4">
        <v>3.0</v>
      </c>
      <c r="E720" s="95">
        <v>36600.0</v>
      </c>
      <c r="F720" s="95"/>
      <c r="G720" s="95"/>
    </row>
    <row r="721">
      <c r="A721" s="2" t="s">
        <v>37</v>
      </c>
      <c r="B721" s="4" t="s">
        <v>9</v>
      </c>
      <c r="C721" s="4" t="s">
        <v>92</v>
      </c>
      <c r="D721" s="4">
        <v>3.0</v>
      </c>
      <c r="E721" s="95">
        <v>208333.33333333334</v>
      </c>
      <c r="F721" s="95"/>
      <c r="G721" s="95"/>
    </row>
    <row r="722">
      <c r="A722" s="2" t="s">
        <v>38</v>
      </c>
      <c r="B722" s="4" t="s">
        <v>9</v>
      </c>
      <c r="C722" s="4" t="s">
        <v>92</v>
      </c>
      <c r="D722" s="4">
        <v>3.0</v>
      </c>
      <c r="E722" s="95">
        <v>291666.6666666667</v>
      </c>
      <c r="F722" s="95"/>
      <c r="G722" s="95"/>
    </row>
    <row r="723">
      <c r="A723" s="82" t="s">
        <v>39</v>
      </c>
      <c r="B723" s="4" t="s">
        <v>9</v>
      </c>
      <c r="C723" s="4" t="s">
        <v>92</v>
      </c>
      <c r="D723" s="4">
        <v>3.0</v>
      </c>
      <c r="E723" s="95">
        <v>250000.0</v>
      </c>
      <c r="F723" s="95"/>
      <c r="G723" s="95"/>
    </row>
    <row r="724">
      <c r="A724" s="2" t="s">
        <v>40</v>
      </c>
      <c r="B724" s="4" t="s">
        <v>27</v>
      </c>
      <c r="C724" s="4" t="s">
        <v>92</v>
      </c>
      <c r="D724" s="4">
        <v>3.0</v>
      </c>
      <c r="E724" s="12">
        <f>J724*0.35*(-1)</f>
        <v>0</v>
      </c>
      <c r="F724" s="95"/>
      <c r="G724" s="95"/>
      <c r="J724" s="23">
        <f>E719+E746</f>
        <v>0</v>
      </c>
    </row>
    <row r="725">
      <c r="A725" s="2" t="s">
        <v>41</v>
      </c>
      <c r="B725" s="4" t="s">
        <v>9</v>
      </c>
      <c r="C725" s="4" t="s">
        <v>92</v>
      </c>
      <c r="D725" s="4">
        <v>3.0</v>
      </c>
      <c r="E725" s="4">
        <v>-83333.3333333333</v>
      </c>
      <c r="F725" s="95"/>
      <c r="G725" s="95"/>
    </row>
    <row r="726">
      <c r="A726" s="2" t="s">
        <v>52</v>
      </c>
      <c r="B726" s="4" t="s">
        <v>9</v>
      </c>
      <c r="C726" s="4" t="s">
        <v>92</v>
      </c>
      <c r="D726" s="4">
        <v>3.0</v>
      </c>
      <c r="E726" s="4">
        <v>-33333.3333333333</v>
      </c>
      <c r="F726" s="95"/>
      <c r="G726" s="95"/>
    </row>
    <row r="727">
      <c r="A727" s="2" t="s">
        <v>57</v>
      </c>
      <c r="B727" s="4" t="s">
        <v>9</v>
      </c>
      <c r="C727" s="4" t="s">
        <v>92</v>
      </c>
      <c r="D727" s="4">
        <v>3.0</v>
      </c>
      <c r="E727" s="83">
        <v>-320000.0</v>
      </c>
      <c r="F727" s="95"/>
      <c r="G727" s="95"/>
    </row>
    <row r="728">
      <c r="A728" s="8" t="s">
        <v>7</v>
      </c>
      <c r="B728" s="12" t="s">
        <v>9</v>
      </c>
      <c r="C728" s="12" t="s">
        <v>93</v>
      </c>
      <c r="D728" s="12">
        <v>3.0</v>
      </c>
      <c r="E728" s="12" t="str">
        <f>'Макшанова'!AG542</f>
        <v/>
      </c>
      <c r="F728" s="20"/>
      <c r="G728" s="20"/>
    </row>
    <row r="729">
      <c r="A729" s="8" t="s">
        <v>32</v>
      </c>
      <c r="B729" s="12" t="s">
        <v>9</v>
      </c>
      <c r="C729" s="12" t="s">
        <v>93</v>
      </c>
      <c r="D729" s="12">
        <v>3.0</v>
      </c>
      <c r="E729" s="20">
        <v>36600.0</v>
      </c>
      <c r="F729" s="20"/>
      <c r="G729" s="20"/>
    </row>
    <row r="730">
      <c r="A730" s="8" t="s">
        <v>37</v>
      </c>
      <c r="B730" s="12" t="s">
        <v>9</v>
      </c>
      <c r="C730" s="12" t="s">
        <v>93</v>
      </c>
      <c r="D730" s="12">
        <v>3.0</v>
      </c>
      <c r="E730" s="20">
        <v>208333.33333333334</v>
      </c>
      <c r="F730" s="20"/>
      <c r="G730" s="20"/>
    </row>
    <row r="731">
      <c r="A731" s="8" t="s">
        <v>38</v>
      </c>
      <c r="B731" s="12" t="s">
        <v>9</v>
      </c>
      <c r="C731" s="12" t="s">
        <v>93</v>
      </c>
      <c r="D731" s="12">
        <v>3.0</v>
      </c>
      <c r="E731" s="20">
        <v>291666.6666666667</v>
      </c>
      <c r="F731" s="20"/>
      <c r="G731" s="20"/>
    </row>
    <row r="732">
      <c r="A732" s="8" t="s">
        <v>39</v>
      </c>
      <c r="B732" s="12" t="s">
        <v>9</v>
      </c>
      <c r="C732" s="12" t="s">
        <v>93</v>
      </c>
      <c r="D732" s="12">
        <v>3.0</v>
      </c>
      <c r="E732" s="20">
        <v>250000.0</v>
      </c>
      <c r="F732" s="20"/>
      <c r="G732" s="20"/>
    </row>
    <row r="733">
      <c r="A733" s="8" t="s">
        <v>40</v>
      </c>
      <c r="B733" s="12" t="s">
        <v>27</v>
      </c>
      <c r="C733" s="12" t="s">
        <v>93</v>
      </c>
      <c r="D733" s="12">
        <v>3.0</v>
      </c>
      <c r="E733" s="12">
        <f>J733*0.35*(-1)</f>
        <v>0</v>
      </c>
      <c r="F733" s="20"/>
      <c r="G733" s="20"/>
      <c r="J733" s="23">
        <f>E728+E755</f>
        <v>0</v>
      </c>
    </row>
    <row r="734">
      <c r="A734" s="8" t="s">
        <v>41</v>
      </c>
      <c r="B734" s="12" t="s">
        <v>9</v>
      </c>
      <c r="C734" s="12" t="s">
        <v>93</v>
      </c>
      <c r="D734" s="12">
        <v>3.0</v>
      </c>
      <c r="E734" s="12">
        <v>-83333.3333333333</v>
      </c>
      <c r="F734" s="20"/>
      <c r="G734" s="20"/>
    </row>
    <row r="735">
      <c r="A735" s="8" t="s">
        <v>52</v>
      </c>
      <c r="B735" s="12" t="s">
        <v>9</v>
      </c>
      <c r="C735" s="12" t="s">
        <v>93</v>
      </c>
      <c r="D735" s="12">
        <v>3.0</v>
      </c>
      <c r="E735" s="12">
        <v>-33333.3333333333</v>
      </c>
      <c r="F735" s="20"/>
      <c r="G735" s="20"/>
    </row>
    <row r="736">
      <c r="A736" s="8" t="s">
        <v>57</v>
      </c>
      <c r="B736" s="12" t="s">
        <v>9</v>
      </c>
      <c r="C736" s="12" t="s">
        <v>93</v>
      </c>
      <c r="D736" s="12">
        <v>3.0</v>
      </c>
      <c r="E736" s="12">
        <v>-320000.0</v>
      </c>
      <c r="F736" s="20"/>
      <c r="G736" s="20"/>
    </row>
    <row r="737">
      <c r="A737" s="2" t="s">
        <v>7</v>
      </c>
      <c r="B737" s="4" t="s">
        <v>9</v>
      </c>
      <c r="C737" s="4" t="s">
        <v>94</v>
      </c>
      <c r="D737" s="4">
        <v>4.0</v>
      </c>
      <c r="E737" s="83" t="str">
        <f>'Макшанова'!AJ523</f>
        <v/>
      </c>
      <c r="F737" s="95"/>
      <c r="G737" s="95"/>
    </row>
    <row r="738">
      <c r="A738" s="2" t="s">
        <v>32</v>
      </c>
      <c r="B738" s="4" t="s">
        <v>9</v>
      </c>
      <c r="C738" s="4" t="s">
        <v>94</v>
      </c>
      <c r="D738" s="4">
        <v>4.0</v>
      </c>
      <c r="E738" s="86">
        <v>36600.0</v>
      </c>
      <c r="F738" s="95"/>
      <c r="G738" s="95"/>
    </row>
    <row r="739">
      <c r="A739" s="2" t="s">
        <v>37</v>
      </c>
      <c r="B739" s="4" t="s">
        <v>9</v>
      </c>
      <c r="C739" s="4" t="s">
        <v>94</v>
      </c>
      <c r="D739" s="4">
        <v>4.0</v>
      </c>
      <c r="E739" s="86">
        <f>'Бюджет 2026'!S491/12</f>
        <v>0</v>
      </c>
      <c r="F739" s="95"/>
      <c r="G739" s="95"/>
    </row>
    <row r="740">
      <c r="A740" s="2" t="s">
        <v>38</v>
      </c>
      <c r="B740" s="4" t="s">
        <v>9</v>
      </c>
      <c r="C740" s="4" t="s">
        <v>94</v>
      </c>
      <c r="D740" s="4">
        <v>4.0</v>
      </c>
      <c r="E740" s="86">
        <f>'Бюджет 2026'!S492/12</f>
        <v>0</v>
      </c>
      <c r="F740" s="95"/>
      <c r="G740" s="95"/>
    </row>
    <row r="741">
      <c r="A741" s="2" t="s">
        <v>39</v>
      </c>
      <c r="B741" s="4" t="s">
        <v>9</v>
      </c>
      <c r="C741" s="4" t="s">
        <v>94</v>
      </c>
      <c r="D741" s="4">
        <v>4.0</v>
      </c>
      <c r="E741" s="86">
        <v>250000.0</v>
      </c>
      <c r="F741" s="95"/>
      <c r="G741" s="95"/>
    </row>
    <row r="742">
      <c r="A742" s="2" t="s">
        <v>40</v>
      </c>
      <c r="B742" s="4" t="s">
        <v>27</v>
      </c>
      <c r="C742" s="4" t="s">
        <v>94</v>
      </c>
      <c r="D742" s="4">
        <v>4.0</v>
      </c>
      <c r="E742" s="12" t="str">
        <f>J742*0.35*(-1)</f>
        <v>#VALUE!</v>
      </c>
      <c r="F742" s="95"/>
      <c r="G742" s="95"/>
      <c r="J742" s="23" t="str">
        <f>E737+E764</f>
        <v>#VALUE!</v>
      </c>
    </row>
    <row r="743">
      <c r="A743" s="2" t="s">
        <v>41</v>
      </c>
      <c r="B743" s="4" t="s">
        <v>9</v>
      </c>
      <c r="C743" s="4" t="s">
        <v>94</v>
      </c>
      <c r="D743" s="4">
        <v>4.0</v>
      </c>
      <c r="E743" s="83">
        <v>-83333.3333333333</v>
      </c>
      <c r="F743" s="95"/>
      <c r="G743" s="95"/>
    </row>
    <row r="744">
      <c r="A744" s="2" t="s">
        <v>52</v>
      </c>
      <c r="B744" s="4" t="s">
        <v>9</v>
      </c>
      <c r="C744" s="4" t="s">
        <v>94</v>
      </c>
      <c r="D744" s="4">
        <v>4.0</v>
      </c>
      <c r="E744" s="83">
        <v>-33333.3333333333</v>
      </c>
      <c r="F744" s="95"/>
      <c r="G744" s="95"/>
    </row>
    <row r="745">
      <c r="A745" s="2" t="s">
        <v>57</v>
      </c>
      <c r="B745" s="4" t="s">
        <v>9</v>
      </c>
      <c r="C745" s="4" t="s">
        <v>94</v>
      </c>
      <c r="D745" s="4">
        <v>4.0</v>
      </c>
      <c r="E745" s="83">
        <v>-320000.0</v>
      </c>
      <c r="F745" s="95"/>
      <c r="G745" s="95"/>
    </row>
    <row r="746">
      <c r="A746" s="8" t="s">
        <v>7</v>
      </c>
      <c r="B746" s="12" t="s">
        <v>9</v>
      </c>
      <c r="C746" s="12" t="s">
        <v>95</v>
      </c>
      <c r="D746" s="12">
        <v>4.0</v>
      </c>
      <c r="E746" s="12" t="str">
        <f>'Макшанова'!AM504</f>
        <v/>
      </c>
      <c r="F746" s="20"/>
      <c r="G746" s="20"/>
    </row>
    <row r="747">
      <c r="A747" s="8" t="s">
        <v>32</v>
      </c>
      <c r="B747" s="12" t="s">
        <v>9</v>
      </c>
      <c r="C747" s="12" t="s">
        <v>95</v>
      </c>
      <c r="D747" s="12">
        <v>4.0</v>
      </c>
      <c r="E747" s="20">
        <f>36600+6100</f>
        <v>42700</v>
      </c>
      <c r="F747" s="20"/>
      <c r="G747" s="20"/>
    </row>
    <row r="748">
      <c r="A748" s="8" t="s">
        <v>37</v>
      </c>
      <c r="B748" s="12" t="s">
        <v>9</v>
      </c>
      <c r="C748" s="12" t="s">
        <v>95</v>
      </c>
      <c r="D748" s="12">
        <v>4.0</v>
      </c>
      <c r="E748" s="20">
        <f>'Бюджет 2026'!S472/12</f>
        <v>0</v>
      </c>
      <c r="F748" s="20"/>
      <c r="G748" s="20"/>
    </row>
    <row r="749">
      <c r="A749" s="8" t="s">
        <v>38</v>
      </c>
      <c r="B749" s="12" t="s">
        <v>9</v>
      </c>
      <c r="C749" s="12" t="s">
        <v>95</v>
      </c>
      <c r="D749" s="12">
        <v>4.0</v>
      </c>
      <c r="E749" s="20">
        <f>'Бюджет 2026'!S473/12</f>
        <v>0</v>
      </c>
      <c r="F749" s="20"/>
      <c r="G749" s="20"/>
    </row>
    <row r="750">
      <c r="A750" s="8" t="s">
        <v>39</v>
      </c>
      <c r="B750" s="12" t="s">
        <v>9</v>
      </c>
      <c r="C750" s="12" t="s">
        <v>95</v>
      </c>
      <c r="D750" s="12">
        <v>4.0</v>
      </c>
      <c r="E750" s="20">
        <v>250000.0</v>
      </c>
      <c r="F750" s="20"/>
      <c r="G750" s="20"/>
    </row>
    <row r="751">
      <c r="A751" s="8" t="s">
        <v>40</v>
      </c>
      <c r="B751" s="12" t="s">
        <v>27</v>
      </c>
      <c r="C751" s="12" t="s">
        <v>95</v>
      </c>
      <c r="D751" s="12">
        <v>4.0</v>
      </c>
      <c r="E751" s="12">
        <f>J751*0.35*(-1)</f>
        <v>112000</v>
      </c>
      <c r="F751" s="20"/>
      <c r="G751" s="20"/>
      <c r="J751" s="23">
        <f>E746+E773</f>
        <v>-320000</v>
      </c>
    </row>
    <row r="752">
      <c r="A752" s="8" t="s">
        <v>41</v>
      </c>
      <c r="B752" s="12" t="s">
        <v>9</v>
      </c>
      <c r="C752" s="12" t="s">
        <v>95</v>
      </c>
      <c r="D752" s="12">
        <v>4.0</v>
      </c>
      <c r="E752" s="12">
        <v>-83333.3333333333</v>
      </c>
      <c r="F752" s="20"/>
      <c r="G752" s="20"/>
    </row>
    <row r="753">
      <c r="A753" s="8" t="s">
        <v>52</v>
      </c>
      <c r="B753" s="12" t="s">
        <v>9</v>
      </c>
      <c r="C753" s="12" t="s">
        <v>95</v>
      </c>
      <c r="D753" s="12">
        <v>4.0</v>
      </c>
      <c r="E753" s="12">
        <v>-33333.3333333333</v>
      </c>
      <c r="F753" s="20"/>
      <c r="G753" s="20"/>
    </row>
    <row r="754">
      <c r="A754" s="8" t="s">
        <v>57</v>
      </c>
      <c r="B754" s="12" t="s">
        <v>9</v>
      </c>
      <c r="C754" s="12" t="s">
        <v>95</v>
      </c>
      <c r="D754" s="12">
        <v>4.0</v>
      </c>
      <c r="E754" s="12">
        <v>-320000.0</v>
      </c>
      <c r="F754" s="20"/>
      <c r="G754" s="20"/>
    </row>
    <row r="755">
      <c r="A755" s="82" t="s">
        <v>7</v>
      </c>
      <c r="B755" s="4" t="s">
        <v>9</v>
      </c>
      <c r="C755" s="4" t="s">
        <v>96</v>
      </c>
      <c r="D755" s="4">
        <v>4.0</v>
      </c>
      <c r="E755" s="83" t="str">
        <f>'Макшанова'!AP485</f>
        <v/>
      </c>
      <c r="F755" s="95"/>
      <c r="G755" s="95"/>
    </row>
    <row r="756">
      <c r="A756" s="2" t="s">
        <v>32</v>
      </c>
      <c r="B756" s="4" t="s">
        <v>9</v>
      </c>
      <c r="C756" s="4" t="s">
        <v>96</v>
      </c>
      <c r="D756" s="4">
        <v>4.0</v>
      </c>
      <c r="E756" s="86">
        <f>36600+6100</f>
        <v>42700</v>
      </c>
      <c r="F756" s="95"/>
      <c r="G756" s="95"/>
    </row>
    <row r="757">
      <c r="A757" s="2" t="s">
        <v>37</v>
      </c>
      <c r="B757" s="4" t="s">
        <v>9</v>
      </c>
      <c r="C757" s="4" t="s">
        <v>96</v>
      </c>
      <c r="D757" s="4">
        <v>4.0</v>
      </c>
      <c r="E757" s="86">
        <f>'Бюджет 2026'!S453/12</f>
        <v>0</v>
      </c>
      <c r="F757" s="95"/>
      <c r="G757" s="95"/>
    </row>
    <row r="758">
      <c r="A758" s="82" t="s">
        <v>38</v>
      </c>
      <c r="B758" s="4" t="s">
        <v>9</v>
      </c>
      <c r="C758" s="4" t="s">
        <v>96</v>
      </c>
      <c r="D758" s="4">
        <v>4.0</v>
      </c>
      <c r="E758" s="86">
        <f>'Бюджет 2026'!S454/12</f>
        <v>0</v>
      </c>
      <c r="F758" s="95"/>
      <c r="G758" s="95"/>
    </row>
    <row r="759">
      <c r="A759" s="82" t="s">
        <v>39</v>
      </c>
      <c r="B759" s="4" t="s">
        <v>9</v>
      </c>
      <c r="C759" s="4" t="s">
        <v>96</v>
      </c>
      <c r="D759" s="4">
        <v>4.0</v>
      </c>
      <c r="E759" s="86">
        <v>250000.0</v>
      </c>
      <c r="F759" s="95"/>
      <c r="G759" s="95"/>
    </row>
    <row r="760">
      <c r="A760" s="82" t="s">
        <v>40</v>
      </c>
      <c r="B760" s="4" t="s">
        <v>27</v>
      </c>
      <c r="C760" s="4" t="s">
        <v>96</v>
      </c>
      <c r="D760" s="4">
        <v>4.0</v>
      </c>
      <c r="E760" s="12">
        <f>J760*0.35*(-1)</f>
        <v>112000</v>
      </c>
      <c r="F760" s="95"/>
      <c r="G760" s="95"/>
      <c r="J760" s="23">
        <f>E755+E782</f>
        <v>-320000</v>
      </c>
    </row>
    <row r="761">
      <c r="A761" s="82" t="s">
        <v>41</v>
      </c>
      <c r="B761" s="4" t="s">
        <v>9</v>
      </c>
      <c r="C761" s="4" t="s">
        <v>96</v>
      </c>
      <c r="D761" s="4">
        <v>4.0</v>
      </c>
      <c r="E761" s="83">
        <v>-83333.3333333333</v>
      </c>
      <c r="F761" s="95"/>
      <c r="G761" s="95"/>
    </row>
    <row r="762">
      <c r="A762" s="2" t="s">
        <v>52</v>
      </c>
      <c r="B762" s="4" t="s">
        <v>9</v>
      </c>
      <c r="C762" s="4" t="s">
        <v>96</v>
      </c>
      <c r="D762" s="4">
        <v>4.0</v>
      </c>
      <c r="E762" s="83">
        <v>-33333.3333333333</v>
      </c>
      <c r="F762" s="95"/>
      <c r="G762" s="95"/>
    </row>
    <row r="763">
      <c r="A763" s="2" t="s">
        <v>57</v>
      </c>
      <c r="B763" s="4" t="s">
        <v>9</v>
      </c>
      <c r="C763" s="4" t="s">
        <v>96</v>
      </c>
      <c r="D763" s="4">
        <v>4.0</v>
      </c>
      <c r="E763" s="83">
        <v>-320000.0</v>
      </c>
      <c r="F763" s="95"/>
      <c r="G763" s="95"/>
    </row>
    <row r="764">
      <c r="A764" s="2">
        <v>0.0</v>
      </c>
      <c r="B764" s="4" t="s">
        <v>0</v>
      </c>
      <c r="C764" s="4" t="s">
        <v>2</v>
      </c>
      <c r="D764" s="4" t="s">
        <v>3</v>
      </c>
      <c r="E764" s="4" t="s">
        <v>4</v>
      </c>
      <c r="F764" s="4" t="s">
        <v>5</v>
      </c>
      <c r="G764" s="4" t="s">
        <v>6</v>
      </c>
    </row>
    <row r="765">
      <c r="A765" s="8" t="s">
        <v>7</v>
      </c>
      <c r="B765" s="12" t="s">
        <v>9</v>
      </c>
      <c r="C765" s="12" t="s">
        <v>10</v>
      </c>
      <c r="D765" s="12">
        <v>1.0</v>
      </c>
      <c r="E765" s="20" t="str">
        <f>'Макшанова'!H803</f>
        <v/>
      </c>
      <c r="F765" s="20"/>
      <c r="G765" s="20"/>
    </row>
    <row r="766">
      <c r="A766" s="8" t="s">
        <v>32</v>
      </c>
      <c r="B766" s="12" t="s">
        <v>9</v>
      </c>
      <c r="C766" s="12" t="s">
        <v>10</v>
      </c>
      <c r="D766" s="12">
        <v>1.0</v>
      </c>
      <c r="E766" s="20">
        <f>6100*4</f>
        <v>24400</v>
      </c>
      <c r="F766" s="20"/>
      <c r="G766" s="20"/>
    </row>
    <row r="767">
      <c r="A767" s="8" t="s">
        <v>37</v>
      </c>
      <c r="B767" s="12" t="s">
        <v>9</v>
      </c>
      <c r="C767" s="12" t="s">
        <v>10</v>
      </c>
      <c r="D767" s="12">
        <v>1.0</v>
      </c>
      <c r="E767" s="12">
        <f>'Бюджет 2026'!S771/12</f>
        <v>0</v>
      </c>
      <c r="F767" s="20"/>
      <c r="G767" s="20"/>
    </row>
    <row r="768">
      <c r="A768" s="8" t="s">
        <v>38</v>
      </c>
      <c r="B768" s="12" t="s">
        <v>9</v>
      </c>
      <c r="C768" s="12" t="s">
        <v>10</v>
      </c>
      <c r="D768" s="12">
        <v>1.0</v>
      </c>
      <c r="E768" s="20">
        <f>'Бюджет 2026'!S772/12</f>
        <v>0</v>
      </c>
      <c r="F768" s="20"/>
      <c r="G768" s="20"/>
    </row>
    <row r="769">
      <c r="A769" s="8" t="s">
        <v>39</v>
      </c>
      <c r="B769" s="12" t="s">
        <v>9</v>
      </c>
      <c r="C769" s="12" t="s">
        <v>10</v>
      </c>
      <c r="D769" s="12">
        <v>1.0</v>
      </c>
      <c r="E769" s="20">
        <f>59000*2</f>
        <v>118000</v>
      </c>
      <c r="F769" s="20"/>
      <c r="G769" s="20"/>
    </row>
    <row r="770">
      <c r="A770" s="8" t="s">
        <v>40</v>
      </c>
      <c r="B770" s="12" t="s">
        <v>27</v>
      </c>
      <c r="C770" s="12" t="s">
        <v>10</v>
      </c>
      <c r="D770" s="12">
        <v>1.0</v>
      </c>
      <c r="E770" s="12">
        <f>J770*0.35*(-1)</f>
        <v>0</v>
      </c>
      <c r="F770" s="20"/>
      <c r="G770" s="20"/>
      <c r="J770" s="23">
        <f>E765+E792</f>
        <v>0</v>
      </c>
    </row>
    <row r="771">
      <c r="A771" s="8" t="s">
        <v>41</v>
      </c>
      <c r="B771" s="12" t="s">
        <v>9</v>
      </c>
      <c r="C771" s="12" t="s">
        <v>10</v>
      </c>
      <c r="D771" s="12">
        <v>1.0</v>
      </c>
      <c r="E771" s="20"/>
      <c r="F771" s="20"/>
      <c r="G771" s="20"/>
    </row>
    <row r="772">
      <c r="A772" s="8" t="s">
        <v>52</v>
      </c>
      <c r="B772" s="12" t="s">
        <v>9</v>
      </c>
      <c r="C772" s="12" t="s">
        <v>10</v>
      </c>
      <c r="D772" s="12">
        <v>1.0</v>
      </c>
      <c r="E772" s="12">
        <v>-20000.0</v>
      </c>
      <c r="F772" s="20"/>
      <c r="G772" s="20"/>
    </row>
    <row r="773">
      <c r="A773" s="8" t="s">
        <v>57</v>
      </c>
      <c r="B773" s="12" t="s">
        <v>9</v>
      </c>
      <c r="C773" s="12" t="s">
        <v>10</v>
      </c>
      <c r="D773" s="12">
        <v>1.0</v>
      </c>
      <c r="E773" s="12">
        <v>-320000.0</v>
      </c>
      <c r="F773" s="20"/>
      <c r="G773" s="20"/>
    </row>
    <row r="774">
      <c r="A774" s="2" t="s">
        <v>7</v>
      </c>
      <c r="B774" s="4" t="s">
        <v>9</v>
      </c>
      <c r="C774" s="4" t="s">
        <v>76</v>
      </c>
      <c r="D774" s="4">
        <v>1.0</v>
      </c>
      <c r="E774" s="4" t="str">
        <f>'Макшанова'!L784</f>
        <v/>
      </c>
      <c r="F774" s="95"/>
      <c r="G774" s="95"/>
    </row>
    <row r="775">
      <c r="A775" s="2" t="s">
        <v>32</v>
      </c>
      <c r="B775" s="4" t="s">
        <v>9</v>
      </c>
      <c r="C775" s="4" t="s">
        <v>76</v>
      </c>
      <c r="D775" s="4">
        <v>1.0</v>
      </c>
      <c r="E775" s="4">
        <v>30500.0</v>
      </c>
      <c r="F775" s="95"/>
      <c r="G775" s="95"/>
    </row>
    <row r="776">
      <c r="A776" s="2" t="s">
        <v>37</v>
      </c>
      <c r="B776" s="4" t="s">
        <v>9</v>
      </c>
      <c r="C776" s="4" t="s">
        <v>76</v>
      </c>
      <c r="D776" s="4">
        <v>1.0</v>
      </c>
      <c r="E776" s="95">
        <f>'Бюджет 2026'!S752/12</f>
        <v>0</v>
      </c>
      <c r="F776" s="95"/>
      <c r="G776" s="95"/>
    </row>
    <row r="777">
      <c r="A777" s="2" t="s">
        <v>38</v>
      </c>
      <c r="B777" s="4" t="s">
        <v>9</v>
      </c>
      <c r="C777" s="4" t="s">
        <v>76</v>
      </c>
      <c r="D777" s="4">
        <v>1.0</v>
      </c>
      <c r="E777" s="95">
        <f>'Бюджет 2026'!S753/12</f>
        <v>0</v>
      </c>
      <c r="F777" s="95"/>
      <c r="G777" s="95"/>
    </row>
    <row r="778">
      <c r="A778" s="2" t="s">
        <v>39</v>
      </c>
      <c r="B778" s="4" t="s">
        <v>9</v>
      </c>
      <c r="C778" s="4" t="s">
        <v>76</v>
      </c>
      <c r="D778" s="4">
        <v>1.0</v>
      </c>
      <c r="E778" s="95">
        <f>59000*3</f>
        <v>177000</v>
      </c>
      <c r="F778" s="95"/>
      <c r="G778" s="95"/>
    </row>
    <row r="779">
      <c r="A779" s="2" t="s">
        <v>40</v>
      </c>
      <c r="B779" s="4" t="s">
        <v>27</v>
      </c>
      <c r="C779" s="4" t="s">
        <v>76</v>
      </c>
      <c r="D779" s="4">
        <v>1.0</v>
      </c>
      <c r="E779" s="12">
        <f>J779*0.35*(-1)</f>
        <v>0</v>
      </c>
      <c r="F779" s="95"/>
      <c r="G779" s="95"/>
      <c r="J779" s="23">
        <f>E774+E801</f>
        <v>0</v>
      </c>
    </row>
    <row r="780">
      <c r="A780" s="2" t="s">
        <v>41</v>
      </c>
      <c r="B780" s="4" t="s">
        <v>9</v>
      </c>
      <c r="C780" s="4" t="s">
        <v>76</v>
      </c>
      <c r="D780" s="4">
        <v>1.0</v>
      </c>
      <c r="E780" s="4">
        <v>-113636.363636364</v>
      </c>
      <c r="F780" s="95"/>
      <c r="G780" s="95"/>
    </row>
    <row r="781">
      <c r="A781" s="2" t="s">
        <v>52</v>
      </c>
      <c r="B781" s="4" t="s">
        <v>9</v>
      </c>
      <c r="C781" s="4" t="s">
        <v>76</v>
      </c>
      <c r="D781" s="4">
        <v>1.0</v>
      </c>
      <c r="E781" s="83">
        <v>-33333.3333333333</v>
      </c>
      <c r="F781" s="95"/>
      <c r="G781" s="95"/>
    </row>
    <row r="782">
      <c r="A782" s="2" t="s">
        <v>57</v>
      </c>
      <c r="B782" s="4" t="s">
        <v>9</v>
      </c>
      <c r="C782" s="4" t="s">
        <v>76</v>
      </c>
      <c r="D782" s="4">
        <v>1.0</v>
      </c>
      <c r="E782" s="83">
        <v>-320000.0</v>
      </c>
      <c r="F782" s="95"/>
      <c r="G782" s="95"/>
    </row>
    <row r="783">
      <c r="A783" s="8" t="s">
        <v>7</v>
      </c>
      <c r="B783" s="12" t="s">
        <v>9</v>
      </c>
      <c r="C783" s="12" t="s">
        <v>88</v>
      </c>
      <c r="D783" s="12">
        <v>1.0</v>
      </c>
      <c r="E783" s="20" t="str">
        <f>'Макшанова'!O765</f>
        <v/>
      </c>
      <c r="F783" s="20"/>
      <c r="G783" s="20"/>
    </row>
    <row r="784">
      <c r="A784" s="8" t="s">
        <v>32</v>
      </c>
      <c r="B784" s="12" t="s">
        <v>9</v>
      </c>
      <c r="C784" s="12" t="s">
        <v>88</v>
      </c>
      <c r="D784" s="12">
        <v>1.0</v>
      </c>
      <c r="E784" s="12">
        <f>30500+6100</f>
        <v>36600</v>
      </c>
      <c r="F784" s="20"/>
      <c r="G784" s="20"/>
    </row>
    <row r="785">
      <c r="A785" s="8" t="s">
        <v>37</v>
      </c>
      <c r="B785" s="12" t="s">
        <v>9</v>
      </c>
      <c r="C785" s="12" t="s">
        <v>88</v>
      </c>
      <c r="D785" s="12">
        <v>1.0</v>
      </c>
      <c r="E785" s="20">
        <f>'Бюджет 2026'!S733/12</f>
        <v>0</v>
      </c>
      <c r="F785" s="20"/>
      <c r="G785" s="20"/>
    </row>
    <row r="786">
      <c r="A786" s="8" t="s">
        <v>38</v>
      </c>
      <c r="B786" s="12" t="s">
        <v>9</v>
      </c>
      <c r="C786" s="12" t="s">
        <v>88</v>
      </c>
      <c r="D786" s="12">
        <v>1.0</v>
      </c>
      <c r="E786" s="20">
        <f>'Бюджет 2026'!S734/12</f>
        <v>0</v>
      </c>
      <c r="F786" s="20"/>
      <c r="G786" s="20"/>
    </row>
    <row r="787">
      <c r="A787" s="8" t="s">
        <v>39</v>
      </c>
      <c r="B787" s="12" t="s">
        <v>9</v>
      </c>
      <c r="C787" s="12" t="s">
        <v>88</v>
      </c>
      <c r="D787" s="12">
        <v>1.0</v>
      </c>
      <c r="E787" s="20">
        <f>'Бюджет 2026'!S735/12</f>
        <v>0</v>
      </c>
      <c r="F787" s="20"/>
      <c r="G787" s="20"/>
    </row>
    <row r="788">
      <c r="A788" s="8" t="s">
        <v>40</v>
      </c>
      <c r="B788" s="12" t="s">
        <v>27</v>
      </c>
      <c r="C788" s="12" t="s">
        <v>88</v>
      </c>
      <c r="D788" s="12">
        <v>1.0</v>
      </c>
      <c r="E788" s="12">
        <f>J788*0.35*(-1)</f>
        <v>0</v>
      </c>
      <c r="F788" s="20"/>
      <c r="G788" s="20"/>
      <c r="J788" s="23">
        <f>E783+E810</f>
        <v>0</v>
      </c>
    </row>
    <row r="789">
      <c r="A789" s="8" t="s">
        <v>41</v>
      </c>
      <c r="B789" s="12" t="s">
        <v>9</v>
      </c>
      <c r="C789" s="12" t="s">
        <v>88</v>
      </c>
      <c r="D789" s="12">
        <v>1.0</v>
      </c>
      <c r="E789" s="12">
        <v>-227272.727272727</v>
      </c>
      <c r="F789" s="20"/>
      <c r="G789" s="20"/>
    </row>
    <row r="790">
      <c r="A790" s="8" t="s">
        <v>52</v>
      </c>
      <c r="B790" s="12" t="s">
        <v>9</v>
      </c>
      <c r="C790" s="12" t="s">
        <v>88</v>
      </c>
      <c r="D790" s="12">
        <v>1.0</v>
      </c>
      <c r="E790" s="12">
        <v>-33333.3333333333</v>
      </c>
      <c r="F790" s="20"/>
      <c r="G790" s="20"/>
    </row>
    <row r="791">
      <c r="A791" s="8" t="s">
        <v>57</v>
      </c>
      <c r="B791" s="12" t="s">
        <v>9</v>
      </c>
      <c r="C791" s="12" t="s">
        <v>88</v>
      </c>
      <c r="D791" s="12">
        <v>1.0</v>
      </c>
      <c r="E791" s="12">
        <v>-320000.0</v>
      </c>
      <c r="F791" s="20"/>
      <c r="G791" s="20"/>
    </row>
    <row r="792">
      <c r="A792" s="2" t="s">
        <v>7</v>
      </c>
      <c r="B792" s="4" t="s">
        <v>9</v>
      </c>
      <c r="C792" s="4" t="s">
        <v>89</v>
      </c>
      <c r="D792" s="4">
        <v>2.0</v>
      </c>
      <c r="E792" s="86" t="str">
        <f>'Макшанова'!R746</f>
        <v/>
      </c>
      <c r="F792" s="95"/>
      <c r="G792" s="95"/>
    </row>
    <row r="793">
      <c r="A793" s="2" t="s">
        <v>32</v>
      </c>
      <c r="B793" s="4" t="s">
        <v>9</v>
      </c>
      <c r="C793" s="4" t="s">
        <v>89</v>
      </c>
      <c r="D793" s="4">
        <v>2.0</v>
      </c>
      <c r="E793" s="83">
        <f>30500+6100</f>
        <v>36600</v>
      </c>
      <c r="F793" s="95"/>
      <c r="G793" s="95"/>
    </row>
    <row r="794">
      <c r="A794" s="2" t="s">
        <v>37</v>
      </c>
      <c r="B794" s="4" t="s">
        <v>9</v>
      </c>
      <c r="C794" s="4" t="s">
        <v>89</v>
      </c>
      <c r="D794" s="4">
        <v>2.0</v>
      </c>
      <c r="E794" s="86">
        <f>'Бюджет 2026'!S714/12</f>
        <v>0</v>
      </c>
      <c r="F794" s="95"/>
      <c r="G794" s="95"/>
    </row>
    <row r="795">
      <c r="A795" s="2" t="s">
        <v>38</v>
      </c>
      <c r="B795" s="4" t="s">
        <v>9</v>
      </c>
      <c r="C795" s="4" t="s">
        <v>89</v>
      </c>
      <c r="D795" s="4">
        <v>2.0</v>
      </c>
      <c r="E795" s="86">
        <f>'Бюджет 2026'!S715/12</f>
        <v>0</v>
      </c>
      <c r="F795" s="95"/>
      <c r="G795" s="95"/>
    </row>
    <row r="796">
      <c r="A796" s="2" t="s">
        <v>39</v>
      </c>
      <c r="B796" s="4" t="s">
        <v>9</v>
      </c>
      <c r="C796" s="4" t="s">
        <v>89</v>
      </c>
      <c r="D796" s="4">
        <v>2.0</v>
      </c>
      <c r="E796" s="86">
        <f>'Бюджет 2026'!S743/12</f>
        <v>0</v>
      </c>
      <c r="F796" s="95"/>
      <c r="G796" s="95"/>
    </row>
    <row r="797">
      <c r="A797" s="2" t="s">
        <v>40</v>
      </c>
      <c r="B797" s="4" t="s">
        <v>27</v>
      </c>
      <c r="C797" s="4" t="s">
        <v>89</v>
      </c>
      <c r="D797" s="4">
        <v>2.0</v>
      </c>
      <c r="E797" s="12">
        <f>J797*0.35*(-1)</f>
        <v>0</v>
      </c>
      <c r="F797" s="95"/>
      <c r="G797" s="95"/>
      <c r="J797" s="23">
        <f>E792+E819</f>
        <v>0</v>
      </c>
    </row>
    <row r="798">
      <c r="A798" s="2" t="s">
        <v>41</v>
      </c>
      <c r="B798" s="4" t="s">
        <v>9</v>
      </c>
      <c r="C798" s="4" t="s">
        <v>89</v>
      </c>
      <c r="D798" s="4">
        <v>2.0</v>
      </c>
      <c r="E798" s="83">
        <v>-170181.818181818</v>
      </c>
      <c r="F798" s="95"/>
      <c r="G798" s="95"/>
    </row>
    <row r="799">
      <c r="A799" s="2" t="s">
        <v>52</v>
      </c>
      <c r="B799" s="4" t="s">
        <v>9</v>
      </c>
      <c r="C799" s="4" t="s">
        <v>89</v>
      </c>
      <c r="D799" s="4">
        <v>2.0</v>
      </c>
      <c r="E799" s="83">
        <v>-33333.3333333333</v>
      </c>
      <c r="F799" s="95"/>
      <c r="G799" s="95"/>
    </row>
    <row r="800">
      <c r="A800" s="2" t="s">
        <v>57</v>
      </c>
      <c r="B800" s="4" t="s">
        <v>9</v>
      </c>
      <c r="C800" s="4" t="s">
        <v>89</v>
      </c>
      <c r="D800" s="4">
        <v>2.0</v>
      </c>
      <c r="E800" s="83">
        <v>-320000.0</v>
      </c>
      <c r="F800" s="95"/>
      <c r="G800" s="95"/>
    </row>
    <row r="801">
      <c r="A801" s="8" t="s">
        <v>7</v>
      </c>
      <c r="B801" s="12" t="s">
        <v>9</v>
      </c>
      <c r="C801" s="12" t="s">
        <v>28</v>
      </c>
      <c r="D801" s="12">
        <v>2.0</v>
      </c>
      <c r="E801" s="20" t="str">
        <f>'Макшанова'!R727</f>
        <v/>
      </c>
      <c r="F801" s="20"/>
      <c r="G801" s="20"/>
    </row>
    <row r="802">
      <c r="A802" s="8" t="s">
        <v>32</v>
      </c>
      <c r="B802" s="12" t="s">
        <v>9</v>
      </c>
      <c r="C802" s="12" t="s">
        <v>28</v>
      </c>
      <c r="D802" s="12">
        <v>2.0</v>
      </c>
      <c r="E802" s="12">
        <v>36600.0</v>
      </c>
      <c r="F802" s="20"/>
      <c r="G802" s="20"/>
    </row>
    <row r="803">
      <c r="A803" s="8" t="s">
        <v>37</v>
      </c>
      <c r="B803" s="12" t="s">
        <v>9</v>
      </c>
      <c r="C803" s="12" t="s">
        <v>28</v>
      </c>
      <c r="D803" s="12">
        <v>2.0</v>
      </c>
      <c r="E803" s="20">
        <f>'Бюджет 2026'!S695/12</f>
        <v>0</v>
      </c>
      <c r="F803" s="20"/>
      <c r="G803" s="20"/>
    </row>
    <row r="804">
      <c r="A804" s="8" t="s">
        <v>38</v>
      </c>
      <c r="B804" s="12" t="s">
        <v>9</v>
      </c>
      <c r="C804" s="12" t="s">
        <v>28</v>
      </c>
      <c r="D804" s="12">
        <v>2.0</v>
      </c>
      <c r="E804" s="20">
        <f>'Бюджет 2026'!S696/12</f>
        <v>0</v>
      </c>
      <c r="F804" s="20"/>
      <c r="G804" s="20"/>
    </row>
    <row r="805">
      <c r="A805" s="8" t="s">
        <v>39</v>
      </c>
      <c r="B805" s="12" t="s">
        <v>9</v>
      </c>
      <c r="C805" s="12" t="s">
        <v>28</v>
      </c>
      <c r="D805" s="12">
        <v>2.0</v>
      </c>
      <c r="E805" s="20">
        <f>'Бюджет 2026'!S697/12</f>
        <v>0</v>
      </c>
      <c r="F805" s="20"/>
      <c r="G805" s="20"/>
    </row>
    <row r="806">
      <c r="A806" s="8" t="s">
        <v>40</v>
      </c>
      <c r="B806" s="12" t="s">
        <v>27</v>
      </c>
      <c r="C806" s="12" t="s">
        <v>28</v>
      </c>
      <c r="D806" s="12">
        <v>2.0</v>
      </c>
      <c r="E806" s="12">
        <f>J806*0.35*(-1)</f>
        <v>0</v>
      </c>
      <c r="F806" s="20"/>
      <c r="G806" s="20"/>
      <c r="J806" s="23">
        <f>E801+E828</f>
        <v>0</v>
      </c>
    </row>
    <row r="807">
      <c r="A807" s="8" t="s">
        <v>41</v>
      </c>
      <c r="B807" s="12" t="s">
        <v>9</v>
      </c>
      <c r="C807" s="12" t="s">
        <v>28</v>
      </c>
      <c r="D807" s="12">
        <v>2.0</v>
      </c>
      <c r="E807" s="12">
        <v>-104166.666666667</v>
      </c>
      <c r="F807" s="20"/>
      <c r="G807" s="20"/>
    </row>
    <row r="808">
      <c r="A808" s="8" t="s">
        <v>52</v>
      </c>
      <c r="B808" s="12" t="s">
        <v>9</v>
      </c>
      <c r="C808" s="12" t="s">
        <v>28</v>
      </c>
      <c r="D808" s="12">
        <v>2.0</v>
      </c>
      <c r="E808" s="12">
        <v>-33333.3333333333</v>
      </c>
      <c r="F808" s="20"/>
      <c r="G808" s="20"/>
    </row>
    <row r="809">
      <c r="A809" s="8" t="s">
        <v>57</v>
      </c>
      <c r="B809" s="12" t="s">
        <v>9</v>
      </c>
      <c r="C809" s="12" t="s">
        <v>28</v>
      </c>
      <c r="D809" s="12">
        <v>2.0</v>
      </c>
      <c r="E809" s="12">
        <v>-320000.0</v>
      </c>
      <c r="F809" s="20"/>
      <c r="G809" s="20"/>
    </row>
    <row r="810">
      <c r="A810" s="82" t="s">
        <v>7</v>
      </c>
      <c r="B810" s="83" t="s">
        <v>9</v>
      </c>
      <c r="C810" s="83" t="s">
        <v>90</v>
      </c>
      <c r="D810" s="83">
        <v>2.0</v>
      </c>
      <c r="E810" s="83" t="str">
        <f>'Макшанова'!X708</f>
        <v/>
      </c>
      <c r="F810" s="86"/>
      <c r="G810" s="86"/>
    </row>
    <row r="811">
      <c r="A811" s="82" t="s">
        <v>32</v>
      </c>
      <c r="B811" s="83" t="s">
        <v>9</v>
      </c>
      <c r="C811" s="83" t="s">
        <v>90</v>
      </c>
      <c r="D811" s="83">
        <v>2.0</v>
      </c>
      <c r="E811" s="86" t="str">
        <f>E755</f>
        <v/>
      </c>
      <c r="F811" s="86"/>
      <c r="G811" s="86"/>
    </row>
    <row r="812">
      <c r="A812" s="82" t="s">
        <v>37</v>
      </c>
      <c r="B812" s="83" t="s">
        <v>9</v>
      </c>
      <c r="C812" s="83" t="s">
        <v>90</v>
      </c>
      <c r="D812" s="83">
        <v>2.0</v>
      </c>
      <c r="E812" s="86">
        <v>208333.33333333334</v>
      </c>
      <c r="F812" s="86"/>
      <c r="G812" s="86"/>
    </row>
    <row r="813">
      <c r="A813" s="82" t="s">
        <v>38</v>
      </c>
      <c r="B813" s="83" t="s">
        <v>9</v>
      </c>
      <c r="C813" s="83" t="s">
        <v>90</v>
      </c>
      <c r="D813" s="83">
        <v>2.0</v>
      </c>
      <c r="E813" s="86">
        <v>291666.6666666667</v>
      </c>
      <c r="F813" s="86"/>
      <c r="G813" s="86"/>
    </row>
    <row r="814">
      <c r="A814" s="82" t="s">
        <v>39</v>
      </c>
      <c r="B814" s="83" t="s">
        <v>9</v>
      </c>
      <c r="C814" s="83" t="s">
        <v>90</v>
      </c>
      <c r="D814" s="83">
        <v>2.0</v>
      </c>
      <c r="E814" s="86">
        <f>E786</f>
        <v>0</v>
      </c>
      <c r="F814" s="86"/>
      <c r="G814" s="86"/>
    </row>
    <row r="815">
      <c r="A815" s="82" t="s">
        <v>40</v>
      </c>
      <c r="B815" s="83" t="s">
        <v>27</v>
      </c>
      <c r="C815" s="83" t="s">
        <v>90</v>
      </c>
      <c r="D815" s="83">
        <v>2.0</v>
      </c>
      <c r="E815" s="12">
        <f>J815*0.35*(-1)</f>
        <v>0</v>
      </c>
      <c r="F815" s="86"/>
      <c r="G815" s="86"/>
      <c r="J815" s="23">
        <f>E810+E837</f>
        <v>0</v>
      </c>
    </row>
    <row r="816">
      <c r="A816" s="82" t="s">
        <v>41</v>
      </c>
      <c r="B816" s="83" t="s">
        <v>9</v>
      </c>
      <c r="C816" s="83" t="s">
        <v>90</v>
      </c>
      <c r="D816" s="83">
        <v>2.0</v>
      </c>
      <c r="E816" s="83">
        <v>-83333.3333333333</v>
      </c>
      <c r="F816" s="86"/>
      <c r="G816" s="86"/>
    </row>
    <row r="817">
      <c r="A817" s="82" t="s">
        <v>52</v>
      </c>
      <c r="B817" s="83" t="s">
        <v>9</v>
      </c>
      <c r="C817" s="83" t="s">
        <v>90</v>
      </c>
      <c r="D817" s="83">
        <v>2.0</v>
      </c>
      <c r="E817" s="83">
        <v>-33333.3333333333</v>
      </c>
      <c r="F817" s="86"/>
      <c r="G817" s="86"/>
    </row>
    <row r="818">
      <c r="A818" s="82" t="s">
        <v>57</v>
      </c>
      <c r="B818" s="83" t="s">
        <v>9</v>
      </c>
      <c r="C818" s="83" t="s">
        <v>90</v>
      </c>
      <c r="D818" s="83">
        <v>2.0</v>
      </c>
      <c r="E818" s="83">
        <v>-320000.0</v>
      </c>
      <c r="F818" s="86"/>
      <c r="G818" s="86"/>
    </row>
    <row r="819">
      <c r="A819" s="8" t="s">
        <v>7</v>
      </c>
      <c r="B819" s="12" t="s">
        <v>9</v>
      </c>
      <c r="C819" s="12" t="s">
        <v>91</v>
      </c>
      <c r="D819" s="12">
        <v>3.0</v>
      </c>
      <c r="E819" s="12" t="str">
        <f>'Макшанова'!AA689</f>
        <v/>
      </c>
      <c r="F819" s="20"/>
      <c r="G819" s="20"/>
    </row>
    <row r="820">
      <c r="A820" s="8" t="s">
        <v>32</v>
      </c>
      <c r="B820" s="12" t="s">
        <v>9</v>
      </c>
      <c r="C820" s="12" t="s">
        <v>91</v>
      </c>
      <c r="D820" s="12">
        <v>3.0</v>
      </c>
      <c r="E820" s="20">
        <f>36600+3500</f>
        <v>40100</v>
      </c>
      <c r="F820" s="20"/>
      <c r="G820" s="20"/>
    </row>
    <row r="821">
      <c r="A821" s="8" t="s">
        <v>37</v>
      </c>
      <c r="B821" s="12" t="s">
        <v>9</v>
      </c>
      <c r="C821" s="12" t="s">
        <v>91</v>
      </c>
      <c r="D821" s="12">
        <v>3.0</v>
      </c>
      <c r="E821" s="20">
        <f>'Бюджет 2026'!S657/12</f>
        <v>0</v>
      </c>
      <c r="F821" s="20"/>
      <c r="G821" s="20"/>
    </row>
    <row r="822">
      <c r="A822" s="8" t="s">
        <v>38</v>
      </c>
      <c r="B822" s="12" t="s">
        <v>9</v>
      </c>
      <c r="C822" s="12" t="s">
        <v>91</v>
      </c>
      <c r="D822" s="12">
        <v>3.0</v>
      </c>
      <c r="E822" s="20">
        <v>291666.6666666667</v>
      </c>
      <c r="F822" s="20"/>
      <c r="G822" s="20"/>
    </row>
    <row r="823">
      <c r="A823" s="8" t="s">
        <v>39</v>
      </c>
      <c r="B823" s="12" t="s">
        <v>9</v>
      </c>
      <c r="C823" s="12" t="s">
        <v>91</v>
      </c>
      <c r="D823" s="12">
        <v>3.0</v>
      </c>
      <c r="E823" s="20">
        <v>250000.0</v>
      </c>
      <c r="F823" s="20"/>
      <c r="G823" s="20"/>
    </row>
    <row r="824">
      <c r="A824" s="8" t="s">
        <v>40</v>
      </c>
      <c r="B824" s="12" t="s">
        <v>27</v>
      </c>
      <c r="C824" s="12" t="s">
        <v>91</v>
      </c>
      <c r="D824" s="12">
        <v>3.0</v>
      </c>
      <c r="E824" s="12">
        <f>J824*0.35*(-1)</f>
        <v>0</v>
      </c>
      <c r="F824" s="20"/>
      <c r="G824" s="20"/>
      <c r="J824" s="23">
        <f>E819+E846</f>
        <v>0</v>
      </c>
    </row>
    <row r="825">
      <c r="A825" s="8" t="s">
        <v>41</v>
      </c>
      <c r="B825" s="12" t="s">
        <v>9</v>
      </c>
      <c r="C825" s="12" t="s">
        <v>91</v>
      </c>
      <c r="D825" s="12">
        <v>3.0</v>
      </c>
      <c r="E825" s="12">
        <v>-83333.3333333333</v>
      </c>
      <c r="F825" s="20"/>
      <c r="G825" s="20"/>
    </row>
    <row r="826">
      <c r="A826" s="8" t="s">
        <v>52</v>
      </c>
      <c r="B826" s="12" t="s">
        <v>9</v>
      </c>
      <c r="C826" s="12" t="s">
        <v>91</v>
      </c>
      <c r="D826" s="12">
        <v>3.0</v>
      </c>
      <c r="E826" s="12">
        <v>-33333.3333333333</v>
      </c>
      <c r="F826" s="20"/>
      <c r="G826" s="20"/>
    </row>
    <row r="827">
      <c r="A827" s="8" t="s">
        <v>57</v>
      </c>
      <c r="B827" s="12" t="s">
        <v>9</v>
      </c>
      <c r="C827" s="12" t="s">
        <v>91</v>
      </c>
      <c r="D827" s="12">
        <v>3.0</v>
      </c>
      <c r="E827" s="12">
        <v>-320000.0</v>
      </c>
      <c r="F827" s="20"/>
      <c r="G827" s="20"/>
    </row>
    <row r="828">
      <c r="A828" s="2" t="s">
        <v>7</v>
      </c>
      <c r="B828" s="4" t="s">
        <v>9</v>
      </c>
      <c r="C828" s="4" t="s">
        <v>92</v>
      </c>
      <c r="D828" s="4">
        <v>3.0</v>
      </c>
      <c r="E828" s="4" t="str">
        <f>'Макшанова'!AD670</f>
        <v/>
      </c>
      <c r="F828" s="95"/>
      <c r="G828" s="95"/>
    </row>
    <row r="829">
      <c r="A829" s="2" t="s">
        <v>32</v>
      </c>
      <c r="B829" s="4" t="s">
        <v>9</v>
      </c>
      <c r="C829" s="4" t="s">
        <v>92</v>
      </c>
      <c r="D829" s="4">
        <v>3.0</v>
      </c>
      <c r="E829" s="95">
        <v>36600.0</v>
      </c>
      <c r="F829" s="95"/>
      <c r="G829" s="95"/>
    </row>
    <row r="830">
      <c r="A830" s="2" t="s">
        <v>37</v>
      </c>
      <c r="B830" s="4" t="s">
        <v>9</v>
      </c>
      <c r="C830" s="4" t="s">
        <v>92</v>
      </c>
      <c r="D830" s="4">
        <v>3.0</v>
      </c>
      <c r="E830" s="95">
        <v>208333.33333333334</v>
      </c>
      <c r="F830" s="95"/>
      <c r="G830" s="95"/>
    </row>
    <row r="831">
      <c r="A831" s="2" t="s">
        <v>38</v>
      </c>
      <c r="B831" s="4" t="s">
        <v>9</v>
      </c>
      <c r="C831" s="4" t="s">
        <v>92</v>
      </c>
      <c r="D831" s="4">
        <v>3.0</v>
      </c>
      <c r="E831" s="95">
        <v>291666.6666666667</v>
      </c>
      <c r="F831" s="95"/>
      <c r="G831" s="95"/>
    </row>
    <row r="832">
      <c r="A832" s="82" t="s">
        <v>39</v>
      </c>
      <c r="B832" s="4" t="s">
        <v>9</v>
      </c>
      <c r="C832" s="4" t="s">
        <v>92</v>
      </c>
      <c r="D832" s="4">
        <v>3.0</v>
      </c>
      <c r="E832" s="95">
        <v>250000.0</v>
      </c>
      <c r="F832" s="95"/>
      <c r="G832" s="95"/>
    </row>
    <row r="833">
      <c r="A833" s="2" t="s">
        <v>40</v>
      </c>
      <c r="B833" s="4" t="s">
        <v>27</v>
      </c>
      <c r="C833" s="4" t="s">
        <v>92</v>
      </c>
      <c r="D833" s="4">
        <v>3.0</v>
      </c>
      <c r="E833" s="12">
        <f>J833*0.35*(-1)</f>
        <v>0</v>
      </c>
      <c r="F833" s="95"/>
      <c r="G833" s="95"/>
      <c r="J833" s="23">
        <f>E828+E855</f>
        <v>0</v>
      </c>
    </row>
    <row r="834">
      <c r="A834" s="2" t="s">
        <v>41</v>
      </c>
      <c r="B834" s="4" t="s">
        <v>9</v>
      </c>
      <c r="C834" s="4" t="s">
        <v>92</v>
      </c>
      <c r="D834" s="4">
        <v>3.0</v>
      </c>
      <c r="E834" s="4">
        <v>-83333.3333333333</v>
      </c>
      <c r="F834" s="95"/>
      <c r="G834" s="95"/>
    </row>
    <row r="835">
      <c r="A835" s="2" t="s">
        <v>52</v>
      </c>
      <c r="B835" s="4" t="s">
        <v>9</v>
      </c>
      <c r="C835" s="4" t="s">
        <v>92</v>
      </c>
      <c r="D835" s="4">
        <v>3.0</v>
      </c>
      <c r="E835" s="4">
        <v>-33333.3333333333</v>
      </c>
      <c r="F835" s="95"/>
      <c r="G835" s="95"/>
    </row>
    <row r="836">
      <c r="A836" s="2" t="s">
        <v>57</v>
      </c>
      <c r="B836" s="4" t="s">
        <v>9</v>
      </c>
      <c r="C836" s="4" t="s">
        <v>92</v>
      </c>
      <c r="D836" s="4">
        <v>3.0</v>
      </c>
      <c r="E836" s="83">
        <v>-320000.0</v>
      </c>
      <c r="F836" s="95"/>
      <c r="G836" s="95"/>
    </row>
    <row r="837">
      <c r="A837" s="8" t="s">
        <v>7</v>
      </c>
      <c r="B837" s="12" t="s">
        <v>9</v>
      </c>
      <c r="C837" s="12" t="s">
        <v>93</v>
      </c>
      <c r="D837" s="12">
        <v>3.0</v>
      </c>
      <c r="E837" s="12" t="str">
        <f>'Макшанова'!AG651</f>
        <v/>
      </c>
      <c r="F837" s="20"/>
      <c r="G837" s="20"/>
    </row>
    <row r="838">
      <c r="A838" s="8" t="s">
        <v>32</v>
      </c>
      <c r="B838" s="12" t="s">
        <v>9</v>
      </c>
      <c r="C838" s="12" t="s">
        <v>93</v>
      </c>
      <c r="D838" s="12">
        <v>3.0</v>
      </c>
      <c r="E838" s="20">
        <v>36600.0</v>
      </c>
      <c r="F838" s="20"/>
      <c r="G838" s="20"/>
    </row>
    <row r="839">
      <c r="A839" s="8" t="s">
        <v>37</v>
      </c>
      <c r="B839" s="12" t="s">
        <v>9</v>
      </c>
      <c r="C839" s="12" t="s">
        <v>93</v>
      </c>
      <c r="D839" s="12">
        <v>3.0</v>
      </c>
      <c r="E839" s="20">
        <v>208333.33333333334</v>
      </c>
      <c r="F839" s="20"/>
      <c r="G839" s="20"/>
    </row>
    <row r="840">
      <c r="A840" s="8" t="s">
        <v>38</v>
      </c>
      <c r="B840" s="12" t="s">
        <v>9</v>
      </c>
      <c r="C840" s="12" t="s">
        <v>93</v>
      </c>
      <c r="D840" s="12">
        <v>3.0</v>
      </c>
      <c r="E840" s="20">
        <v>291666.6666666667</v>
      </c>
      <c r="F840" s="20"/>
      <c r="G840" s="20"/>
    </row>
    <row r="841">
      <c r="A841" s="8" t="s">
        <v>39</v>
      </c>
      <c r="B841" s="12" t="s">
        <v>9</v>
      </c>
      <c r="C841" s="12" t="s">
        <v>93</v>
      </c>
      <c r="D841" s="12">
        <v>3.0</v>
      </c>
      <c r="E841" s="20">
        <v>250000.0</v>
      </c>
      <c r="F841" s="20"/>
      <c r="G841" s="20"/>
    </row>
    <row r="842">
      <c r="A842" s="8" t="s">
        <v>40</v>
      </c>
      <c r="B842" s="12" t="s">
        <v>27</v>
      </c>
      <c r="C842" s="12" t="s">
        <v>93</v>
      </c>
      <c r="D842" s="12">
        <v>3.0</v>
      </c>
      <c r="E842" s="12">
        <f>J842*0.35*(-1)</f>
        <v>0</v>
      </c>
      <c r="F842" s="20"/>
      <c r="G842" s="20"/>
      <c r="J842" s="23">
        <f>E837+E864</f>
        <v>0</v>
      </c>
    </row>
    <row r="843">
      <c r="A843" s="8" t="s">
        <v>41</v>
      </c>
      <c r="B843" s="12" t="s">
        <v>9</v>
      </c>
      <c r="C843" s="12" t="s">
        <v>93</v>
      </c>
      <c r="D843" s="12">
        <v>3.0</v>
      </c>
      <c r="E843" s="12">
        <v>-83333.3333333333</v>
      </c>
      <c r="F843" s="20"/>
      <c r="G843" s="20"/>
    </row>
    <row r="844">
      <c r="A844" s="8" t="s">
        <v>52</v>
      </c>
      <c r="B844" s="12" t="s">
        <v>9</v>
      </c>
      <c r="C844" s="12" t="s">
        <v>93</v>
      </c>
      <c r="D844" s="12">
        <v>3.0</v>
      </c>
      <c r="E844" s="12">
        <v>-33333.3333333333</v>
      </c>
      <c r="F844" s="20"/>
      <c r="G844" s="20"/>
    </row>
    <row r="845">
      <c r="A845" s="8" t="s">
        <v>57</v>
      </c>
      <c r="B845" s="12" t="s">
        <v>9</v>
      </c>
      <c r="C845" s="12" t="s">
        <v>93</v>
      </c>
      <c r="D845" s="12">
        <v>3.0</v>
      </c>
      <c r="E845" s="12">
        <v>-320000.0</v>
      </c>
      <c r="F845" s="20"/>
      <c r="G845" s="20"/>
    </row>
    <row r="846">
      <c r="A846" s="2" t="s">
        <v>7</v>
      </c>
      <c r="B846" s="4" t="s">
        <v>9</v>
      </c>
      <c r="C846" s="4" t="s">
        <v>94</v>
      </c>
      <c r="D846" s="4">
        <v>4.0</v>
      </c>
      <c r="E846" s="83" t="str">
        <f>'Макшанова'!AJ632</f>
        <v/>
      </c>
      <c r="F846" s="95"/>
      <c r="G846" s="95"/>
    </row>
    <row r="847">
      <c r="A847" s="2" t="s">
        <v>32</v>
      </c>
      <c r="B847" s="4" t="s">
        <v>9</v>
      </c>
      <c r="C847" s="4" t="s">
        <v>94</v>
      </c>
      <c r="D847" s="4">
        <v>4.0</v>
      </c>
      <c r="E847" s="86">
        <v>36600.0</v>
      </c>
      <c r="F847" s="95"/>
      <c r="G847" s="95"/>
    </row>
    <row r="848">
      <c r="A848" s="2" t="s">
        <v>37</v>
      </c>
      <c r="B848" s="4" t="s">
        <v>9</v>
      </c>
      <c r="C848" s="4" t="s">
        <v>94</v>
      </c>
      <c r="D848" s="4">
        <v>4.0</v>
      </c>
      <c r="E848" s="86">
        <f>'Бюджет 2026'!S600/12</f>
        <v>0</v>
      </c>
      <c r="F848" s="95"/>
      <c r="G848" s="95"/>
    </row>
    <row r="849">
      <c r="A849" s="2" t="s">
        <v>38</v>
      </c>
      <c r="B849" s="4" t="s">
        <v>9</v>
      </c>
      <c r="C849" s="4" t="s">
        <v>94</v>
      </c>
      <c r="D849" s="4">
        <v>4.0</v>
      </c>
      <c r="E849" s="86">
        <f>'Бюджет 2026'!S601/12</f>
        <v>0</v>
      </c>
      <c r="F849" s="95"/>
      <c r="G849" s="95"/>
    </row>
    <row r="850">
      <c r="A850" s="2" t="s">
        <v>39</v>
      </c>
      <c r="B850" s="4" t="s">
        <v>9</v>
      </c>
      <c r="C850" s="4" t="s">
        <v>94</v>
      </c>
      <c r="D850" s="4">
        <v>4.0</v>
      </c>
      <c r="E850" s="86">
        <v>250000.0</v>
      </c>
      <c r="F850" s="95"/>
      <c r="G850" s="95"/>
    </row>
    <row r="851">
      <c r="A851" s="2" t="s">
        <v>40</v>
      </c>
      <c r="B851" s="4" t="s">
        <v>27</v>
      </c>
      <c r="C851" s="4" t="s">
        <v>94</v>
      </c>
      <c r="D851" s="4">
        <v>4.0</v>
      </c>
      <c r="E851" s="12" t="str">
        <f>J851*0.35*(-1)</f>
        <v>#VALUE!</v>
      </c>
      <c r="F851" s="95"/>
      <c r="G851" s="95"/>
      <c r="J851" s="23" t="str">
        <f>E846+E873</f>
        <v>#VALUE!</v>
      </c>
    </row>
    <row r="852">
      <c r="A852" s="2" t="s">
        <v>41</v>
      </c>
      <c r="B852" s="4" t="s">
        <v>9</v>
      </c>
      <c r="C852" s="4" t="s">
        <v>94</v>
      </c>
      <c r="D852" s="4">
        <v>4.0</v>
      </c>
      <c r="E852" s="83">
        <v>-83333.3333333333</v>
      </c>
      <c r="F852" s="95"/>
      <c r="G852" s="95"/>
    </row>
    <row r="853">
      <c r="A853" s="2" t="s">
        <v>52</v>
      </c>
      <c r="B853" s="4" t="s">
        <v>9</v>
      </c>
      <c r="C853" s="4" t="s">
        <v>94</v>
      </c>
      <c r="D853" s="4">
        <v>4.0</v>
      </c>
      <c r="E853" s="83">
        <v>-33333.3333333333</v>
      </c>
      <c r="F853" s="95"/>
      <c r="G853" s="95"/>
    </row>
    <row r="854">
      <c r="A854" s="2" t="s">
        <v>57</v>
      </c>
      <c r="B854" s="4" t="s">
        <v>9</v>
      </c>
      <c r="C854" s="4" t="s">
        <v>94</v>
      </c>
      <c r="D854" s="4">
        <v>4.0</v>
      </c>
      <c r="E854" s="83">
        <v>-320000.0</v>
      </c>
      <c r="F854" s="95"/>
      <c r="G854" s="95"/>
    </row>
    <row r="855">
      <c r="A855" s="8" t="s">
        <v>7</v>
      </c>
      <c r="B855" s="12" t="s">
        <v>9</v>
      </c>
      <c r="C855" s="12" t="s">
        <v>95</v>
      </c>
      <c r="D855" s="12">
        <v>4.0</v>
      </c>
      <c r="E855" s="12" t="str">
        <f>'Макшанова'!AM613</f>
        <v/>
      </c>
      <c r="F855" s="20"/>
      <c r="G855" s="20"/>
    </row>
    <row r="856">
      <c r="A856" s="8" t="s">
        <v>32</v>
      </c>
      <c r="B856" s="12" t="s">
        <v>9</v>
      </c>
      <c r="C856" s="12" t="s">
        <v>95</v>
      </c>
      <c r="D856" s="12">
        <v>4.0</v>
      </c>
      <c r="E856" s="20">
        <f>36600+6100</f>
        <v>42700</v>
      </c>
      <c r="F856" s="20"/>
      <c r="G856" s="20"/>
    </row>
    <row r="857">
      <c r="A857" s="8" t="s">
        <v>37</v>
      </c>
      <c r="B857" s="12" t="s">
        <v>9</v>
      </c>
      <c r="C857" s="12" t="s">
        <v>95</v>
      </c>
      <c r="D857" s="12">
        <v>4.0</v>
      </c>
      <c r="E857" s="20">
        <f>'Бюджет 2026'!S581/12</f>
        <v>0</v>
      </c>
      <c r="F857" s="20"/>
      <c r="G857" s="20"/>
    </row>
    <row r="858">
      <c r="A858" s="8" t="s">
        <v>38</v>
      </c>
      <c r="B858" s="12" t="s">
        <v>9</v>
      </c>
      <c r="C858" s="12" t="s">
        <v>95</v>
      </c>
      <c r="D858" s="12">
        <v>4.0</v>
      </c>
      <c r="E858" s="20">
        <f>'Бюджет 2026'!S582/12</f>
        <v>0</v>
      </c>
      <c r="F858" s="20"/>
      <c r="G858" s="20"/>
    </row>
    <row r="859">
      <c r="A859" s="8" t="s">
        <v>39</v>
      </c>
      <c r="B859" s="12" t="s">
        <v>9</v>
      </c>
      <c r="C859" s="12" t="s">
        <v>95</v>
      </c>
      <c r="D859" s="12">
        <v>4.0</v>
      </c>
      <c r="E859" s="20">
        <v>250000.0</v>
      </c>
      <c r="F859" s="20"/>
      <c r="G859" s="20"/>
    </row>
    <row r="860">
      <c r="A860" s="8" t="s">
        <v>40</v>
      </c>
      <c r="B860" s="12" t="s">
        <v>27</v>
      </c>
      <c r="C860" s="12" t="s">
        <v>95</v>
      </c>
      <c r="D860" s="12">
        <v>4.0</v>
      </c>
      <c r="E860" s="12">
        <f>J860*0.35*(-1)</f>
        <v>112000</v>
      </c>
      <c r="F860" s="20"/>
      <c r="G860" s="20"/>
      <c r="J860" s="23">
        <f>E855+E882</f>
        <v>-320000</v>
      </c>
    </row>
    <row r="861">
      <c r="A861" s="8" t="s">
        <v>41</v>
      </c>
      <c r="B861" s="12" t="s">
        <v>9</v>
      </c>
      <c r="C861" s="12" t="s">
        <v>95</v>
      </c>
      <c r="D861" s="12">
        <v>4.0</v>
      </c>
      <c r="E861" s="12">
        <v>-83333.3333333333</v>
      </c>
      <c r="F861" s="20"/>
      <c r="G861" s="20"/>
    </row>
    <row r="862">
      <c r="A862" s="8" t="s">
        <v>52</v>
      </c>
      <c r="B862" s="12" t="s">
        <v>9</v>
      </c>
      <c r="C862" s="12" t="s">
        <v>95</v>
      </c>
      <c r="D862" s="12">
        <v>4.0</v>
      </c>
      <c r="E862" s="12">
        <v>-33333.3333333333</v>
      </c>
      <c r="F862" s="20"/>
      <c r="G862" s="20"/>
    </row>
    <row r="863">
      <c r="A863" s="8" t="s">
        <v>57</v>
      </c>
      <c r="B863" s="12" t="s">
        <v>9</v>
      </c>
      <c r="C863" s="12" t="s">
        <v>95</v>
      </c>
      <c r="D863" s="12">
        <v>4.0</v>
      </c>
      <c r="E863" s="12">
        <v>-320000.0</v>
      </c>
      <c r="F863" s="20"/>
      <c r="G863" s="20"/>
    </row>
    <row r="864">
      <c r="A864" s="82" t="s">
        <v>7</v>
      </c>
      <c r="B864" s="4" t="s">
        <v>9</v>
      </c>
      <c r="C864" s="4" t="s">
        <v>96</v>
      </c>
      <c r="D864" s="4">
        <v>4.0</v>
      </c>
      <c r="E864" s="83" t="str">
        <f>'Макшанова'!AP594</f>
        <v/>
      </c>
      <c r="F864" s="95"/>
      <c r="G864" s="95"/>
    </row>
    <row r="865">
      <c r="A865" s="2" t="s">
        <v>32</v>
      </c>
      <c r="B865" s="4" t="s">
        <v>9</v>
      </c>
      <c r="C865" s="4" t="s">
        <v>96</v>
      </c>
      <c r="D865" s="4">
        <v>4.0</v>
      </c>
      <c r="E865" s="86">
        <f>36600+6100</f>
        <v>42700</v>
      </c>
      <c r="F865" s="95"/>
      <c r="G865" s="95"/>
    </row>
    <row r="866">
      <c r="A866" s="2" t="s">
        <v>37</v>
      </c>
      <c r="B866" s="4" t="s">
        <v>9</v>
      </c>
      <c r="C866" s="4" t="s">
        <v>96</v>
      </c>
      <c r="D866" s="4">
        <v>4.0</v>
      </c>
      <c r="E866" s="86">
        <f>'Бюджет 2026'!S562/12</f>
        <v>0</v>
      </c>
      <c r="F866" s="95"/>
      <c r="G866" s="95"/>
    </row>
    <row r="867">
      <c r="A867" s="82" t="s">
        <v>38</v>
      </c>
      <c r="B867" s="4" t="s">
        <v>9</v>
      </c>
      <c r="C867" s="4" t="s">
        <v>96</v>
      </c>
      <c r="D867" s="4">
        <v>4.0</v>
      </c>
      <c r="E867" s="86">
        <f>'Бюджет 2026'!S563/12</f>
        <v>0</v>
      </c>
      <c r="F867" s="95"/>
      <c r="G867" s="95"/>
    </row>
    <row r="868">
      <c r="A868" s="82" t="s">
        <v>39</v>
      </c>
      <c r="B868" s="4" t="s">
        <v>9</v>
      </c>
      <c r="C868" s="4" t="s">
        <v>96</v>
      </c>
      <c r="D868" s="4">
        <v>4.0</v>
      </c>
      <c r="E868" s="86">
        <v>250000.0</v>
      </c>
      <c r="F868" s="95"/>
      <c r="G868" s="95"/>
    </row>
    <row r="869">
      <c r="A869" s="82" t="s">
        <v>40</v>
      </c>
      <c r="B869" s="4" t="s">
        <v>27</v>
      </c>
      <c r="C869" s="4" t="s">
        <v>96</v>
      </c>
      <c r="D869" s="4">
        <v>4.0</v>
      </c>
      <c r="E869" s="12">
        <f>J869*0.35*(-1)</f>
        <v>112000</v>
      </c>
      <c r="F869" s="95"/>
      <c r="G869" s="95"/>
      <c r="J869" s="23">
        <f>E864+E891</f>
        <v>-320000</v>
      </c>
    </row>
    <row r="870">
      <c r="A870" s="82" t="s">
        <v>41</v>
      </c>
      <c r="B870" s="4" t="s">
        <v>9</v>
      </c>
      <c r="C870" s="4" t="s">
        <v>96</v>
      </c>
      <c r="D870" s="4">
        <v>4.0</v>
      </c>
      <c r="E870" s="83">
        <v>-83333.3333333333</v>
      </c>
      <c r="F870" s="95"/>
      <c r="G870" s="95"/>
    </row>
    <row r="871">
      <c r="A871" s="2" t="s">
        <v>52</v>
      </c>
      <c r="B871" s="4" t="s">
        <v>9</v>
      </c>
      <c r="C871" s="4" t="s">
        <v>96</v>
      </c>
      <c r="D871" s="4">
        <v>4.0</v>
      </c>
      <c r="E871" s="83">
        <v>-33333.3333333333</v>
      </c>
      <c r="F871" s="95"/>
      <c r="G871" s="95"/>
    </row>
    <row r="872">
      <c r="A872" s="2" t="s">
        <v>57</v>
      </c>
      <c r="B872" s="4" t="s">
        <v>9</v>
      </c>
      <c r="C872" s="4" t="s">
        <v>96</v>
      </c>
      <c r="D872" s="4">
        <v>4.0</v>
      </c>
      <c r="E872" s="83">
        <v>-320000.0</v>
      </c>
      <c r="F872" s="95"/>
      <c r="G872" s="95"/>
    </row>
    <row r="873">
      <c r="A873" s="2">
        <v>0.0</v>
      </c>
      <c r="B873" s="4" t="s">
        <v>0</v>
      </c>
      <c r="C873" s="4" t="s">
        <v>2</v>
      </c>
      <c r="D873" s="4" t="s">
        <v>3</v>
      </c>
      <c r="E873" s="4" t="s">
        <v>4</v>
      </c>
      <c r="F873" s="4" t="s">
        <v>5</v>
      </c>
      <c r="G873" s="4" t="s">
        <v>6</v>
      </c>
    </row>
    <row r="874">
      <c r="A874" s="8" t="s">
        <v>7</v>
      </c>
      <c r="B874" s="12" t="s">
        <v>9</v>
      </c>
      <c r="C874" s="12" t="s">
        <v>10</v>
      </c>
      <c r="D874" s="12">
        <v>1.0</v>
      </c>
      <c r="E874" s="20" t="str">
        <f>'Макшанова'!H912</f>
        <v/>
      </c>
      <c r="F874" s="20"/>
      <c r="G874" s="20"/>
    </row>
    <row r="875">
      <c r="A875" s="8" t="s">
        <v>32</v>
      </c>
      <c r="B875" s="12" t="s">
        <v>9</v>
      </c>
      <c r="C875" s="12" t="s">
        <v>10</v>
      </c>
      <c r="D875" s="12">
        <v>1.0</v>
      </c>
      <c r="E875" s="20">
        <f>6100*4</f>
        <v>24400</v>
      </c>
      <c r="F875" s="20"/>
      <c r="G875" s="20"/>
    </row>
    <row r="876">
      <c r="A876" s="8" t="s">
        <v>37</v>
      </c>
      <c r="B876" s="12" t="s">
        <v>9</v>
      </c>
      <c r="C876" s="12" t="s">
        <v>10</v>
      </c>
      <c r="D876" s="12">
        <v>1.0</v>
      </c>
      <c r="E876" s="12">
        <f>'Бюджет 2026'!S880/12</f>
        <v>0</v>
      </c>
      <c r="F876" s="20"/>
      <c r="G876" s="20"/>
    </row>
    <row r="877">
      <c r="A877" s="8" t="s">
        <v>38</v>
      </c>
      <c r="B877" s="12" t="s">
        <v>9</v>
      </c>
      <c r="C877" s="12" t="s">
        <v>10</v>
      </c>
      <c r="D877" s="12">
        <v>1.0</v>
      </c>
      <c r="E877" s="20">
        <f>'Бюджет 2026'!S881/12</f>
        <v>0</v>
      </c>
      <c r="F877" s="20"/>
      <c r="G877" s="20"/>
    </row>
    <row r="878">
      <c r="A878" s="8" t="s">
        <v>39</v>
      </c>
      <c r="B878" s="12" t="s">
        <v>9</v>
      </c>
      <c r="C878" s="12" t="s">
        <v>10</v>
      </c>
      <c r="D878" s="12">
        <v>1.0</v>
      </c>
      <c r="E878" s="20">
        <f>59000*2</f>
        <v>118000</v>
      </c>
      <c r="F878" s="20"/>
      <c r="G878" s="20"/>
    </row>
    <row r="879">
      <c r="A879" s="8" t="s">
        <v>40</v>
      </c>
      <c r="B879" s="12" t="s">
        <v>27</v>
      </c>
      <c r="C879" s="12" t="s">
        <v>10</v>
      </c>
      <c r="D879" s="12">
        <v>1.0</v>
      </c>
      <c r="E879" s="12">
        <f>J879*0.35*(-1)</f>
        <v>0</v>
      </c>
      <c r="F879" s="20"/>
      <c r="G879" s="20"/>
      <c r="J879" s="23">
        <f>E874+E901</f>
        <v>0</v>
      </c>
    </row>
    <row r="880">
      <c r="A880" s="8" t="s">
        <v>41</v>
      </c>
      <c r="B880" s="12" t="s">
        <v>9</v>
      </c>
      <c r="C880" s="12" t="s">
        <v>10</v>
      </c>
      <c r="D880" s="12">
        <v>1.0</v>
      </c>
      <c r="E880" s="20"/>
      <c r="F880" s="20"/>
      <c r="G880" s="20"/>
    </row>
    <row r="881">
      <c r="A881" s="8" t="s">
        <v>52</v>
      </c>
      <c r="B881" s="12" t="s">
        <v>9</v>
      </c>
      <c r="C881" s="12" t="s">
        <v>10</v>
      </c>
      <c r="D881" s="12">
        <v>1.0</v>
      </c>
      <c r="E881" s="12">
        <v>-20000.0</v>
      </c>
      <c r="F881" s="20"/>
      <c r="G881" s="20"/>
    </row>
    <row r="882">
      <c r="A882" s="8" t="s">
        <v>57</v>
      </c>
      <c r="B882" s="12" t="s">
        <v>9</v>
      </c>
      <c r="C882" s="12" t="s">
        <v>10</v>
      </c>
      <c r="D882" s="12">
        <v>1.0</v>
      </c>
      <c r="E882" s="12">
        <v>-320000.0</v>
      </c>
      <c r="F882" s="20"/>
      <c r="G882" s="20"/>
    </row>
    <row r="883">
      <c r="A883" s="2" t="s">
        <v>7</v>
      </c>
      <c r="B883" s="4" t="s">
        <v>9</v>
      </c>
      <c r="C883" s="4" t="s">
        <v>76</v>
      </c>
      <c r="D883" s="4">
        <v>1.0</v>
      </c>
      <c r="E883" s="4" t="str">
        <f>'Макшанова'!L893</f>
        <v/>
      </c>
      <c r="F883" s="95"/>
      <c r="G883" s="95"/>
    </row>
    <row r="884">
      <c r="A884" s="2" t="s">
        <v>32</v>
      </c>
      <c r="B884" s="4" t="s">
        <v>9</v>
      </c>
      <c r="C884" s="4" t="s">
        <v>76</v>
      </c>
      <c r="D884" s="4">
        <v>1.0</v>
      </c>
      <c r="E884" s="4">
        <v>30500.0</v>
      </c>
      <c r="F884" s="95"/>
      <c r="G884" s="95"/>
    </row>
    <row r="885">
      <c r="A885" s="2" t="s">
        <v>37</v>
      </c>
      <c r="B885" s="4" t="s">
        <v>9</v>
      </c>
      <c r="C885" s="4" t="s">
        <v>76</v>
      </c>
      <c r="D885" s="4">
        <v>1.0</v>
      </c>
      <c r="E885" s="95">
        <f>'Бюджет 2026'!S861/12</f>
        <v>0</v>
      </c>
      <c r="F885" s="95"/>
      <c r="G885" s="95"/>
    </row>
    <row r="886">
      <c r="A886" s="2" t="s">
        <v>38</v>
      </c>
      <c r="B886" s="4" t="s">
        <v>9</v>
      </c>
      <c r="C886" s="4" t="s">
        <v>76</v>
      </c>
      <c r="D886" s="4">
        <v>1.0</v>
      </c>
      <c r="E886" s="95">
        <f>'Бюджет 2026'!S862/12</f>
        <v>0</v>
      </c>
      <c r="F886" s="95"/>
      <c r="G886" s="95"/>
    </row>
    <row r="887">
      <c r="A887" s="2" t="s">
        <v>39</v>
      </c>
      <c r="B887" s="4" t="s">
        <v>9</v>
      </c>
      <c r="C887" s="4" t="s">
        <v>76</v>
      </c>
      <c r="D887" s="4">
        <v>1.0</v>
      </c>
      <c r="E887" s="95">
        <f>59000*3</f>
        <v>177000</v>
      </c>
      <c r="F887" s="95"/>
      <c r="G887" s="95"/>
    </row>
    <row r="888">
      <c r="A888" s="2" t="s">
        <v>40</v>
      </c>
      <c r="B888" s="4" t="s">
        <v>27</v>
      </c>
      <c r="C888" s="4" t="s">
        <v>76</v>
      </c>
      <c r="D888" s="4">
        <v>1.0</v>
      </c>
      <c r="E888" s="12">
        <f>J888*0.35*(-1)</f>
        <v>0</v>
      </c>
      <c r="F888" s="95"/>
      <c r="G888" s="95"/>
      <c r="J888" s="23">
        <f>E883+E910</f>
        <v>0</v>
      </c>
    </row>
    <row r="889">
      <c r="A889" s="2" t="s">
        <v>41</v>
      </c>
      <c r="B889" s="4" t="s">
        <v>9</v>
      </c>
      <c r="C889" s="4" t="s">
        <v>76</v>
      </c>
      <c r="D889" s="4">
        <v>1.0</v>
      </c>
      <c r="E889" s="4">
        <v>-113636.363636364</v>
      </c>
      <c r="F889" s="95"/>
      <c r="G889" s="95"/>
    </row>
    <row r="890">
      <c r="A890" s="2" t="s">
        <v>52</v>
      </c>
      <c r="B890" s="4" t="s">
        <v>9</v>
      </c>
      <c r="C890" s="4" t="s">
        <v>76</v>
      </c>
      <c r="D890" s="4">
        <v>1.0</v>
      </c>
      <c r="E890" s="83">
        <v>-33333.3333333333</v>
      </c>
      <c r="F890" s="95"/>
      <c r="G890" s="95"/>
    </row>
    <row r="891">
      <c r="A891" s="2" t="s">
        <v>57</v>
      </c>
      <c r="B891" s="4" t="s">
        <v>9</v>
      </c>
      <c r="C891" s="4" t="s">
        <v>76</v>
      </c>
      <c r="D891" s="4">
        <v>1.0</v>
      </c>
      <c r="E891" s="83">
        <v>-320000.0</v>
      </c>
      <c r="F891" s="95"/>
      <c r="G891" s="95"/>
    </row>
    <row r="892">
      <c r="A892" s="8" t="s">
        <v>7</v>
      </c>
      <c r="B892" s="12" t="s">
        <v>9</v>
      </c>
      <c r="C892" s="12" t="s">
        <v>88</v>
      </c>
      <c r="D892" s="12">
        <v>1.0</v>
      </c>
      <c r="E892" s="20" t="str">
        <f>'Макшанова'!O874</f>
        <v/>
      </c>
      <c r="F892" s="20"/>
      <c r="G892" s="20"/>
    </row>
    <row r="893">
      <c r="A893" s="8" t="s">
        <v>32</v>
      </c>
      <c r="B893" s="12" t="s">
        <v>9</v>
      </c>
      <c r="C893" s="12" t="s">
        <v>88</v>
      </c>
      <c r="D893" s="12">
        <v>1.0</v>
      </c>
      <c r="E893" s="12">
        <f>30500+6100</f>
        <v>36600</v>
      </c>
      <c r="F893" s="20"/>
      <c r="G893" s="20"/>
    </row>
    <row r="894">
      <c r="A894" s="8" t="s">
        <v>37</v>
      </c>
      <c r="B894" s="12" t="s">
        <v>9</v>
      </c>
      <c r="C894" s="12" t="s">
        <v>88</v>
      </c>
      <c r="D894" s="12">
        <v>1.0</v>
      </c>
      <c r="E894" s="20">
        <f>'Бюджет 2026'!S842/12</f>
        <v>0</v>
      </c>
      <c r="F894" s="20"/>
      <c r="G894" s="20"/>
    </row>
    <row r="895">
      <c r="A895" s="8" t="s">
        <v>38</v>
      </c>
      <c r="B895" s="12" t="s">
        <v>9</v>
      </c>
      <c r="C895" s="12" t="s">
        <v>88</v>
      </c>
      <c r="D895" s="12">
        <v>1.0</v>
      </c>
      <c r="E895" s="20">
        <f>'Бюджет 2026'!S843/12</f>
        <v>0</v>
      </c>
      <c r="F895" s="20"/>
      <c r="G895" s="20"/>
    </row>
    <row r="896">
      <c r="A896" s="8" t="s">
        <v>39</v>
      </c>
      <c r="B896" s="12" t="s">
        <v>9</v>
      </c>
      <c r="C896" s="12" t="s">
        <v>88</v>
      </c>
      <c r="D896" s="12">
        <v>1.0</v>
      </c>
      <c r="E896" s="20">
        <f>'Бюджет 2026'!S844/12</f>
        <v>0</v>
      </c>
      <c r="F896" s="20"/>
      <c r="G896" s="20"/>
    </row>
    <row r="897">
      <c r="A897" s="8" t="s">
        <v>40</v>
      </c>
      <c r="B897" s="12" t="s">
        <v>27</v>
      </c>
      <c r="C897" s="12" t="s">
        <v>88</v>
      </c>
      <c r="D897" s="12">
        <v>1.0</v>
      </c>
      <c r="E897" s="12">
        <f>J897*0.35*(-1)</f>
        <v>0</v>
      </c>
      <c r="F897" s="20"/>
      <c r="G897" s="20"/>
      <c r="J897" s="23">
        <f>E892+E919</f>
        <v>0</v>
      </c>
    </row>
    <row r="898">
      <c r="A898" s="8" t="s">
        <v>41</v>
      </c>
      <c r="B898" s="12" t="s">
        <v>9</v>
      </c>
      <c r="C898" s="12" t="s">
        <v>88</v>
      </c>
      <c r="D898" s="12">
        <v>1.0</v>
      </c>
      <c r="E898" s="12">
        <v>-227272.727272727</v>
      </c>
      <c r="F898" s="20"/>
      <c r="G898" s="20"/>
    </row>
    <row r="899">
      <c r="A899" s="8" t="s">
        <v>52</v>
      </c>
      <c r="B899" s="12" t="s">
        <v>9</v>
      </c>
      <c r="C899" s="12" t="s">
        <v>88</v>
      </c>
      <c r="D899" s="12">
        <v>1.0</v>
      </c>
      <c r="E899" s="12">
        <v>-33333.3333333333</v>
      </c>
      <c r="F899" s="20"/>
      <c r="G899" s="20"/>
    </row>
    <row r="900">
      <c r="A900" s="8" t="s">
        <v>57</v>
      </c>
      <c r="B900" s="12" t="s">
        <v>9</v>
      </c>
      <c r="C900" s="12" t="s">
        <v>88</v>
      </c>
      <c r="D900" s="12">
        <v>1.0</v>
      </c>
      <c r="E900" s="12">
        <v>-320000.0</v>
      </c>
      <c r="F900" s="20"/>
      <c r="G900" s="20"/>
    </row>
    <row r="901">
      <c r="A901" s="2" t="s">
        <v>7</v>
      </c>
      <c r="B901" s="4" t="s">
        <v>9</v>
      </c>
      <c r="C901" s="4" t="s">
        <v>89</v>
      </c>
      <c r="D901" s="4">
        <v>2.0</v>
      </c>
      <c r="E901" s="86" t="str">
        <f>'Макшанова'!R855</f>
        <v/>
      </c>
      <c r="F901" s="95"/>
      <c r="G901" s="95"/>
    </row>
    <row r="902">
      <c r="A902" s="2" t="s">
        <v>32</v>
      </c>
      <c r="B902" s="4" t="s">
        <v>9</v>
      </c>
      <c r="C902" s="4" t="s">
        <v>89</v>
      </c>
      <c r="D902" s="4">
        <v>2.0</v>
      </c>
      <c r="E902" s="83">
        <f>30500+6100</f>
        <v>36600</v>
      </c>
      <c r="F902" s="95"/>
      <c r="G902" s="95"/>
    </row>
    <row r="903">
      <c r="A903" s="2" t="s">
        <v>37</v>
      </c>
      <c r="B903" s="4" t="s">
        <v>9</v>
      </c>
      <c r="C903" s="4" t="s">
        <v>89</v>
      </c>
      <c r="D903" s="4">
        <v>2.0</v>
      </c>
      <c r="E903" s="86">
        <f>'Бюджет 2026'!S823/12</f>
        <v>0</v>
      </c>
      <c r="F903" s="95"/>
      <c r="G903" s="95"/>
    </row>
    <row r="904">
      <c r="A904" s="2" t="s">
        <v>38</v>
      </c>
      <c r="B904" s="4" t="s">
        <v>9</v>
      </c>
      <c r="C904" s="4" t="s">
        <v>89</v>
      </c>
      <c r="D904" s="4">
        <v>2.0</v>
      </c>
      <c r="E904" s="86">
        <f>'Бюджет 2026'!S824/12</f>
        <v>0</v>
      </c>
      <c r="F904" s="95"/>
      <c r="G904" s="95"/>
    </row>
    <row r="905">
      <c r="A905" s="2" t="s">
        <v>39</v>
      </c>
      <c r="B905" s="4" t="s">
        <v>9</v>
      </c>
      <c r="C905" s="4" t="s">
        <v>89</v>
      </c>
      <c r="D905" s="4">
        <v>2.0</v>
      </c>
      <c r="E905" s="86">
        <f>'Бюджет 2026'!S852/12</f>
        <v>0</v>
      </c>
      <c r="F905" s="95"/>
      <c r="G905" s="95"/>
    </row>
    <row r="906">
      <c r="A906" s="2" t="s">
        <v>40</v>
      </c>
      <c r="B906" s="4" t="s">
        <v>27</v>
      </c>
      <c r="C906" s="4" t="s">
        <v>89</v>
      </c>
      <c r="D906" s="4">
        <v>2.0</v>
      </c>
      <c r="E906" s="12">
        <f>J906*0.35*(-1)</f>
        <v>0</v>
      </c>
      <c r="F906" s="95"/>
      <c r="G906" s="95"/>
      <c r="J906" s="23">
        <f>E901+E928</f>
        <v>0</v>
      </c>
    </row>
    <row r="907">
      <c r="A907" s="2" t="s">
        <v>41</v>
      </c>
      <c r="B907" s="4" t="s">
        <v>9</v>
      </c>
      <c r="C907" s="4" t="s">
        <v>89</v>
      </c>
      <c r="D907" s="4">
        <v>2.0</v>
      </c>
      <c r="E907" s="83">
        <v>-170181.818181818</v>
      </c>
      <c r="F907" s="95"/>
      <c r="G907" s="95"/>
    </row>
    <row r="908">
      <c r="A908" s="2" t="s">
        <v>52</v>
      </c>
      <c r="B908" s="4" t="s">
        <v>9</v>
      </c>
      <c r="C908" s="4" t="s">
        <v>89</v>
      </c>
      <c r="D908" s="4">
        <v>2.0</v>
      </c>
      <c r="E908" s="83">
        <v>-33333.3333333333</v>
      </c>
      <c r="F908" s="95"/>
      <c r="G908" s="95"/>
    </row>
    <row r="909">
      <c r="A909" s="2" t="s">
        <v>57</v>
      </c>
      <c r="B909" s="4" t="s">
        <v>9</v>
      </c>
      <c r="C909" s="4" t="s">
        <v>89</v>
      </c>
      <c r="D909" s="4">
        <v>2.0</v>
      </c>
      <c r="E909" s="83">
        <v>-320000.0</v>
      </c>
      <c r="F909" s="95"/>
      <c r="G909" s="95"/>
    </row>
    <row r="910">
      <c r="A910" s="8" t="s">
        <v>7</v>
      </c>
      <c r="B910" s="12" t="s">
        <v>9</v>
      </c>
      <c r="C910" s="12" t="s">
        <v>28</v>
      </c>
      <c r="D910" s="12">
        <v>2.0</v>
      </c>
      <c r="E910" s="20" t="str">
        <f>'Макшанова'!R836</f>
        <v/>
      </c>
      <c r="F910" s="20"/>
      <c r="G910" s="20"/>
    </row>
    <row r="911">
      <c r="A911" s="8" t="s">
        <v>32</v>
      </c>
      <c r="B911" s="12" t="s">
        <v>9</v>
      </c>
      <c r="C911" s="12" t="s">
        <v>28</v>
      </c>
      <c r="D911" s="12">
        <v>2.0</v>
      </c>
      <c r="E911" s="12">
        <v>36600.0</v>
      </c>
      <c r="F911" s="20"/>
      <c r="G911" s="20"/>
    </row>
    <row r="912">
      <c r="A912" s="8" t="s">
        <v>37</v>
      </c>
      <c r="B912" s="12" t="s">
        <v>9</v>
      </c>
      <c r="C912" s="12" t="s">
        <v>28</v>
      </c>
      <c r="D912" s="12">
        <v>2.0</v>
      </c>
      <c r="E912" s="20">
        <f>'Бюджет 2026'!S804/12</f>
        <v>0</v>
      </c>
      <c r="F912" s="20"/>
      <c r="G912" s="20"/>
    </row>
    <row r="913">
      <c r="A913" s="8" t="s">
        <v>38</v>
      </c>
      <c r="B913" s="12" t="s">
        <v>9</v>
      </c>
      <c r="C913" s="12" t="s">
        <v>28</v>
      </c>
      <c r="D913" s="12">
        <v>2.0</v>
      </c>
      <c r="E913" s="20">
        <f>'Бюджет 2026'!S805/12</f>
        <v>0</v>
      </c>
      <c r="F913" s="20"/>
      <c r="G913" s="20"/>
    </row>
    <row r="914">
      <c r="A914" s="8" t="s">
        <v>39</v>
      </c>
      <c r="B914" s="12" t="s">
        <v>9</v>
      </c>
      <c r="C914" s="12" t="s">
        <v>28</v>
      </c>
      <c r="D914" s="12">
        <v>2.0</v>
      </c>
      <c r="E914" s="20">
        <f>'Бюджет 2026'!S806/12</f>
        <v>0</v>
      </c>
      <c r="F914" s="20"/>
      <c r="G914" s="20"/>
    </row>
    <row r="915">
      <c r="A915" s="8" t="s">
        <v>40</v>
      </c>
      <c r="B915" s="12" t="s">
        <v>27</v>
      </c>
      <c r="C915" s="12" t="s">
        <v>28</v>
      </c>
      <c r="D915" s="12">
        <v>2.0</v>
      </c>
      <c r="E915" s="12">
        <f>J915*0.35*(-1)</f>
        <v>0</v>
      </c>
      <c r="F915" s="20"/>
      <c r="G915" s="20"/>
      <c r="J915" s="23">
        <f>E910+E937</f>
        <v>0</v>
      </c>
    </row>
    <row r="916">
      <c r="A916" s="8" t="s">
        <v>41</v>
      </c>
      <c r="B916" s="12" t="s">
        <v>9</v>
      </c>
      <c r="C916" s="12" t="s">
        <v>28</v>
      </c>
      <c r="D916" s="12">
        <v>2.0</v>
      </c>
      <c r="E916" s="12">
        <v>-104166.666666667</v>
      </c>
      <c r="F916" s="20"/>
      <c r="G916" s="20"/>
    </row>
    <row r="917">
      <c r="A917" s="8" t="s">
        <v>52</v>
      </c>
      <c r="B917" s="12" t="s">
        <v>9</v>
      </c>
      <c r="C917" s="12" t="s">
        <v>28</v>
      </c>
      <c r="D917" s="12">
        <v>2.0</v>
      </c>
      <c r="E917" s="12">
        <v>-33333.3333333333</v>
      </c>
      <c r="F917" s="20"/>
      <c r="G917" s="20"/>
    </row>
    <row r="918">
      <c r="A918" s="8" t="s">
        <v>57</v>
      </c>
      <c r="B918" s="12" t="s">
        <v>9</v>
      </c>
      <c r="C918" s="12" t="s">
        <v>28</v>
      </c>
      <c r="D918" s="12">
        <v>2.0</v>
      </c>
      <c r="E918" s="12">
        <v>-320000.0</v>
      </c>
      <c r="F918" s="20"/>
      <c r="G918" s="20"/>
    </row>
    <row r="919">
      <c r="A919" s="82" t="s">
        <v>7</v>
      </c>
      <c r="B919" s="83" t="s">
        <v>9</v>
      </c>
      <c r="C919" s="83" t="s">
        <v>90</v>
      </c>
      <c r="D919" s="83">
        <v>2.0</v>
      </c>
      <c r="E919" s="83" t="str">
        <f>'Макшанова'!X817</f>
        <v/>
      </c>
      <c r="F919" s="86"/>
      <c r="G919" s="86"/>
    </row>
    <row r="920">
      <c r="A920" s="82" t="s">
        <v>32</v>
      </c>
      <c r="B920" s="83" t="s">
        <v>9</v>
      </c>
      <c r="C920" s="83" t="s">
        <v>90</v>
      </c>
      <c r="D920" s="83">
        <v>2.0</v>
      </c>
      <c r="E920" s="86" t="str">
        <f>E864</f>
        <v/>
      </c>
      <c r="F920" s="86"/>
      <c r="G920" s="86"/>
    </row>
    <row r="921">
      <c r="A921" s="82" t="s">
        <v>37</v>
      </c>
      <c r="B921" s="83" t="s">
        <v>9</v>
      </c>
      <c r="C921" s="83" t="s">
        <v>90</v>
      </c>
      <c r="D921" s="83">
        <v>2.0</v>
      </c>
      <c r="E921" s="86">
        <v>208333.33333333334</v>
      </c>
      <c r="F921" s="86"/>
      <c r="G921" s="86"/>
    </row>
    <row r="922">
      <c r="A922" s="82" t="s">
        <v>38</v>
      </c>
      <c r="B922" s="83" t="s">
        <v>9</v>
      </c>
      <c r="C922" s="83" t="s">
        <v>90</v>
      </c>
      <c r="D922" s="83">
        <v>2.0</v>
      </c>
      <c r="E922" s="86">
        <v>291666.6666666667</v>
      </c>
      <c r="F922" s="86"/>
      <c r="G922" s="86"/>
    </row>
    <row r="923">
      <c r="A923" s="82" t="s">
        <v>39</v>
      </c>
      <c r="B923" s="83" t="s">
        <v>9</v>
      </c>
      <c r="C923" s="83" t="s">
        <v>90</v>
      </c>
      <c r="D923" s="83">
        <v>2.0</v>
      </c>
      <c r="E923" s="86">
        <f>E895</f>
        <v>0</v>
      </c>
      <c r="F923" s="86"/>
      <c r="G923" s="86"/>
    </row>
    <row r="924">
      <c r="A924" s="82" t="s">
        <v>40</v>
      </c>
      <c r="B924" s="83" t="s">
        <v>27</v>
      </c>
      <c r="C924" s="83" t="s">
        <v>90</v>
      </c>
      <c r="D924" s="83">
        <v>2.0</v>
      </c>
      <c r="E924" s="12">
        <f>J924*0.35*(-1)</f>
        <v>0</v>
      </c>
      <c r="F924" s="86"/>
      <c r="G924" s="86"/>
      <c r="J924" s="23">
        <f>E919+E946</f>
        <v>0</v>
      </c>
    </row>
    <row r="925">
      <c r="A925" s="82" t="s">
        <v>41</v>
      </c>
      <c r="B925" s="83" t="s">
        <v>9</v>
      </c>
      <c r="C925" s="83" t="s">
        <v>90</v>
      </c>
      <c r="D925" s="83">
        <v>2.0</v>
      </c>
      <c r="E925" s="83">
        <v>-83333.3333333333</v>
      </c>
      <c r="F925" s="86"/>
      <c r="G925" s="86"/>
    </row>
    <row r="926">
      <c r="A926" s="82" t="s">
        <v>52</v>
      </c>
      <c r="B926" s="83" t="s">
        <v>9</v>
      </c>
      <c r="C926" s="83" t="s">
        <v>90</v>
      </c>
      <c r="D926" s="83">
        <v>2.0</v>
      </c>
      <c r="E926" s="83">
        <v>-33333.3333333333</v>
      </c>
      <c r="F926" s="86"/>
      <c r="G926" s="86"/>
    </row>
    <row r="927">
      <c r="A927" s="82" t="s">
        <v>57</v>
      </c>
      <c r="B927" s="83" t="s">
        <v>9</v>
      </c>
      <c r="C927" s="83" t="s">
        <v>90</v>
      </c>
      <c r="D927" s="83">
        <v>2.0</v>
      </c>
      <c r="E927" s="83">
        <v>-320000.0</v>
      </c>
      <c r="F927" s="86"/>
      <c r="G927" s="86"/>
    </row>
    <row r="928">
      <c r="A928" s="8" t="s">
        <v>7</v>
      </c>
      <c r="B928" s="12" t="s">
        <v>9</v>
      </c>
      <c r="C928" s="12" t="s">
        <v>91</v>
      </c>
      <c r="D928" s="12">
        <v>3.0</v>
      </c>
      <c r="E928" s="12" t="str">
        <f>'Макшанова'!AA798</f>
        <v/>
      </c>
      <c r="F928" s="20"/>
      <c r="G928" s="20"/>
    </row>
    <row r="929">
      <c r="A929" s="8" t="s">
        <v>32</v>
      </c>
      <c r="B929" s="12" t="s">
        <v>9</v>
      </c>
      <c r="C929" s="12" t="s">
        <v>91</v>
      </c>
      <c r="D929" s="12">
        <v>3.0</v>
      </c>
      <c r="E929" s="20">
        <f>36600+3500</f>
        <v>40100</v>
      </c>
      <c r="F929" s="20"/>
      <c r="G929" s="20"/>
    </row>
    <row r="930">
      <c r="A930" s="8" t="s">
        <v>37</v>
      </c>
      <c r="B930" s="12" t="s">
        <v>9</v>
      </c>
      <c r="C930" s="12" t="s">
        <v>91</v>
      </c>
      <c r="D930" s="12">
        <v>3.0</v>
      </c>
      <c r="E930" s="20">
        <f>'Бюджет 2026'!S766/12</f>
        <v>0</v>
      </c>
      <c r="F930" s="20"/>
      <c r="G930" s="20"/>
    </row>
    <row r="931">
      <c r="A931" s="8" t="s">
        <v>38</v>
      </c>
      <c r="B931" s="12" t="s">
        <v>9</v>
      </c>
      <c r="C931" s="12" t="s">
        <v>91</v>
      </c>
      <c r="D931" s="12">
        <v>3.0</v>
      </c>
      <c r="E931" s="20">
        <v>291666.6666666667</v>
      </c>
      <c r="F931" s="20"/>
      <c r="G931" s="20"/>
    </row>
    <row r="932">
      <c r="A932" s="8" t="s">
        <v>39</v>
      </c>
      <c r="B932" s="12" t="s">
        <v>9</v>
      </c>
      <c r="C932" s="12" t="s">
        <v>91</v>
      </c>
      <c r="D932" s="12">
        <v>3.0</v>
      </c>
      <c r="E932" s="20">
        <v>250000.0</v>
      </c>
      <c r="F932" s="20"/>
      <c r="G932" s="20"/>
    </row>
    <row r="933">
      <c r="A933" s="8" t="s">
        <v>40</v>
      </c>
      <c r="B933" s="12" t="s">
        <v>27</v>
      </c>
      <c r="C933" s="12" t="s">
        <v>91</v>
      </c>
      <c r="D933" s="12">
        <v>3.0</v>
      </c>
      <c r="E933" s="12">
        <f>J933*0.35*(-1)</f>
        <v>0</v>
      </c>
      <c r="F933" s="20"/>
      <c r="G933" s="20"/>
      <c r="J933" s="23">
        <f>E928+E955</f>
        <v>0</v>
      </c>
    </row>
    <row r="934">
      <c r="A934" s="8" t="s">
        <v>41</v>
      </c>
      <c r="B934" s="12" t="s">
        <v>9</v>
      </c>
      <c r="C934" s="12" t="s">
        <v>91</v>
      </c>
      <c r="D934" s="12">
        <v>3.0</v>
      </c>
      <c r="E934" s="12">
        <v>-83333.3333333333</v>
      </c>
      <c r="F934" s="20"/>
      <c r="G934" s="20"/>
    </row>
    <row r="935">
      <c r="A935" s="8" t="s">
        <v>52</v>
      </c>
      <c r="B935" s="12" t="s">
        <v>9</v>
      </c>
      <c r="C935" s="12" t="s">
        <v>91</v>
      </c>
      <c r="D935" s="12">
        <v>3.0</v>
      </c>
      <c r="E935" s="12">
        <v>-33333.3333333333</v>
      </c>
      <c r="F935" s="20"/>
      <c r="G935" s="20"/>
    </row>
    <row r="936">
      <c r="A936" s="8" t="s">
        <v>57</v>
      </c>
      <c r="B936" s="12" t="s">
        <v>9</v>
      </c>
      <c r="C936" s="12" t="s">
        <v>91</v>
      </c>
      <c r="D936" s="12">
        <v>3.0</v>
      </c>
      <c r="E936" s="12">
        <v>-320000.0</v>
      </c>
      <c r="F936" s="20"/>
      <c r="G936" s="20"/>
    </row>
    <row r="937">
      <c r="A937" s="2" t="s">
        <v>7</v>
      </c>
      <c r="B937" s="4" t="s">
        <v>9</v>
      </c>
      <c r="C937" s="4" t="s">
        <v>92</v>
      </c>
      <c r="D937" s="4">
        <v>3.0</v>
      </c>
      <c r="E937" s="4" t="str">
        <f>'Макшанова'!AD779</f>
        <v/>
      </c>
      <c r="F937" s="95"/>
      <c r="G937" s="95"/>
    </row>
    <row r="938">
      <c r="A938" s="2" t="s">
        <v>32</v>
      </c>
      <c r="B938" s="4" t="s">
        <v>9</v>
      </c>
      <c r="C938" s="4" t="s">
        <v>92</v>
      </c>
      <c r="D938" s="4">
        <v>3.0</v>
      </c>
      <c r="E938" s="95">
        <v>36600.0</v>
      </c>
      <c r="F938" s="95"/>
      <c r="G938" s="95"/>
    </row>
    <row r="939">
      <c r="A939" s="2" t="s">
        <v>37</v>
      </c>
      <c r="B939" s="4" t="s">
        <v>9</v>
      </c>
      <c r="C939" s="4" t="s">
        <v>92</v>
      </c>
      <c r="D939" s="4">
        <v>3.0</v>
      </c>
      <c r="E939" s="95">
        <v>208333.33333333334</v>
      </c>
      <c r="F939" s="95"/>
      <c r="G939" s="95"/>
    </row>
    <row r="940">
      <c r="A940" s="2" t="s">
        <v>38</v>
      </c>
      <c r="B940" s="4" t="s">
        <v>9</v>
      </c>
      <c r="C940" s="4" t="s">
        <v>92</v>
      </c>
      <c r="D940" s="4">
        <v>3.0</v>
      </c>
      <c r="E940" s="95">
        <v>291666.6666666667</v>
      </c>
      <c r="F940" s="95"/>
      <c r="G940" s="95"/>
    </row>
    <row r="941">
      <c r="A941" s="82" t="s">
        <v>39</v>
      </c>
      <c r="B941" s="4" t="s">
        <v>9</v>
      </c>
      <c r="C941" s="4" t="s">
        <v>92</v>
      </c>
      <c r="D941" s="4">
        <v>3.0</v>
      </c>
      <c r="E941" s="95">
        <v>250000.0</v>
      </c>
      <c r="F941" s="95"/>
      <c r="G941" s="95"/>
    </row>
    <row r="942">
      <c r="A942" s="2" t="s">
        <v>40</v>
      </c>
      <c r="B942" s="4" t="s">
        <v>27</v>
      </c>
      <c r="C942" s="4" t="s">
        <v>92</v>
      </c>
      <c r="D942" s="4">
        <v>3.0</v>
      </c>
      <c r="E942" s="12">
        <f>J942*0.35*(-1)</f>
        <v>0</v>
      </c>
      <c r="F942" s="95"/>
      <c r="G942" s="95"/>
      <c r="J942" s="23">
        <f>E937+E964</f>
        <v>0</v>
      </c>
    </row>
    <row r="943">
      <c r="A943" s="2" t="s">
        <v>41</v>
      </c>
      <c r="B943" s="4" t="s">
        <v>9</v>
      </c>
      <c r="C943" s="4" t="s">
        <v>92</v>
      </c>
      <c r="D943" s="4">
        <v>3.0</v>
      </c>
      <c r="E943" s="4">
        <v>-83333.3333333333</v>
      </c>
      <c r="F943" s="95"/>
      <c r="G943" s="95"/>
    </row>
    <row r="944">
      <c r="A944" s="2" t="s">
        <v>52</v>
      </c>
      <c r="B944" s="4" t="s">
        <v>9</v>
      </c>
      <c r="C944" s="4" t="s">
        <v>92</v>
      </c>
      <c r="D944" s="4">
        <v>3.0</v>
      </c>
      <c r="E944" s="4">
        <v>-33333.3333333333</v>
      </c>
      <c r="F944" s="95"/>
      <c r="G944" s="95"/>
    </row>
    <row r="945">
      <c r="A945" s="2" t="s">
        <v>57</v>
      </c>
      <c r="B945" s="4" t="s">
        <v>9</v>
      </c>
      <c r="C945" s="4" t="s">
        <v>92</v>
      </c>
      <c r="D945" s="4">
        <v>3.0</v>
      </c>
      <c r="E945" s="83">
        <v>-320000.0</v>
      </c>
      <c r="F945" s="95"/>
      <c r="G945" s="95"/>
    </row>
    <row r="946">
      <c r="A946" s="8" t="s">
        <v>7</v>
      </c>
      <c r="B946" s="12" t="s">
        <v>9</v>
      </c>
      <c r="C946" s="12" t="s">
        <v>93</v>
      </c>
      <c r="D946" s="12">
        <v>3.0</v>
      </c>
      <c r="E946" s="12" t="str">
        <f>'Макшанова'!AG760</f>
        <v/>
      </c>
      <c r="F946" s="20"/>
      <c r="G946" s="20"/>
    </row>
    <row r="947">
      <c r="A947" s="8" t="s">
        <v>32</v>
      </c>
      <c r="B947" s="12" t="s">
        <v>9</v>
      </c>
      <c r="C947" s="12" t="s">
        <v>93</v>
      </c>
      <c r="D947" s="12">
        <v>3.0</v>
      </c>
      <c r="E947" s="20">
        <v>36600.0</v>
      </c>
      <c r="F947" s="20"/>
      <c r="G947" s="20"/>
    </row>
    <row r="948">
      <c r="A948" s="8" t="s">
        <v>37</v>
      </c>
      <c r="B948" s="12" t="s">
        <v>9</v>
      </c>
      <c r="C948" s="12" t="s">
        <v>93</v>
      </c>
      <c r="D948" s="12">
        <v>3.0</v>
      </c>
      <c r="E948" s="20">
        <v>208333.33333333334</v>
      </c>
      <c r="F948" s="20"/>
      <c r="G948" s="20"/>
    </row>
    <row r="949">
      <c r="A949" s="8" t="s">
        <v>38</v>
      </c>
      <c r="B949" s="12" t="s">
        <v>9</v>
      </c>
      <c r="C949" s="12" t="s">
        <v>93</v>
      </c>
      <c r="D949" s="12">
        <v>3.0</v>
      </c>
      <c r="E949" s="20">
        <v>291666.6666666667</v>
      </c>
      <c r="F949" s="20"/>
      <c r="G949" s="20"/>
    </row>
    <row r="950">
      <c r="A950" s="8" t="s">
        <v>39</v>
      </c>
      <c r="B950" s="12" t="s">
        <v>9</v>
      </c>
      <c r="C950" s="12" t="s">
        <v>93</v>
      </c>
      <c r="D950" s="12">
        <v>3.0</v>
      </c>
      <c r="E950" s="20">
        <v>250000.0</v>
      </c>
      <c r="F950" s="20"/>
      <c r="G950" s="20"/>
    </row>
    <row r="951">
      <c r="A951" s="8" t="s">
        <v>40</v>
      </c>
      <c r="B951" s="12" t="s">
        <v>27</v>
      </c>
      <c r="C951" s="12" t="s">
        <v>93</v>
      </c>
      <c r="D951" s="12">
        <v>3.0</v>
      </c>
      <c r="E951" s="12">
        <f>J951*0.35*(-1)</f>
        <v>0</v>
      </c>
      <c r="F951" s="20"/>
      <c r="G951" s="20"/>
      <c r="J951" s="23">
        <f>E946+E973</f>
        <v>0</v>
      </c>
    </row>
    <row r="952">
      <c r="A952" s="8" t="s">
        <v>41</v>
      </c>
      <c r="B952" s="12" t="s">
        <v>9</v>
      </c>
      <c r="C952" s="12" t="s">
        <v>93</v>
      </c>
      <c r="D952" s="12">
        <v>3.0</v>
      </c>
      <c r="E952" s="12">
        <v>-83333.3333333333</v>
      </c>
      <c r="F952" s="20"/>
      <c r="G952" s="20"/>
    </row>
    <row r="953">
      <c r="A953" s="8" t="s">
        <v>52</v>
      </c>
      <c r="B953" s="12" t="s">
        <v>9</v>
      </c>
      <c r="C953" s="12" t="s">
        <v>93</v>
      </c>
      <c r="D953" s="12">
        <v>3.0</v>
      </c>
      <c r="E953" s="12">
        <v>-33333.3333333333</v>
      </c>
      <c r="F953" s="20"/>
      <c r="G953" s="20"/>
    </row>
    <row r="954">
      <c r="A954" s="8" t="s">
        <v>57</v>
      </c>
      <c r="B954" s="12" t="s">
        <v>9</v>
      </c>
      <c r="C954" s="12" t="s">
        <v>93</v>
      </c>
      <c r="D954" s="12">
        <v>3.0</v>
      </c>
      <c r="E954" s="12">
        <v>-320000.0</v>
      </c>
      <c r="F954" s="20"/>
      <c r="G954" s="20"/>
    </row>
    <row r="955">
      <c r="A955" s="2" t="s">
        <v>7</v>
      </c>
      <c r="B955" s="4" t="s">
        <v>9</v>
      </c>
      <c r="C955" s="4" t="s">
        <v>94</v>
      </c>
      <c r="D955" s="4">
        <v>4.0</v>
      </c>
      <c r="E955" s="83" t="str">
        <f>'Макшанова'!AJ741</f>
        <v/>
      </c>
      <c r="F955" s="95"/>
      <c r="G955" s="95"/>
    </row>
    <row r="956">
      <c r="A956" s="2" t="s">
        <v>32</v>
      </c>
      <c r="B956" s="4" t="s">
        <v>9</v>
      </c>
      <c r="C956" s="4" t="s">
        <v>94</v>
      </c>
      <c r="D956" s="4">
        <v>4.0</v>
      </c>
      <c r="E956" s="86">
        <v>36600.0</v>
      </c>
      <c r="F956" s="95"/>
      <c r="G956" s="95"/>
    </row>
    <row r="957">
      <c r="A957" s="2" t="s">
        <v>37</v>
      </c>
      <c r="B957" s="4" t="s">
        <v>9</v>
      </c>
      <c r="C957" s="4" t="s">
        <v>94</v>
      </c>
      <c r="D957" s="4">
        <v>4.0</v>
      </c>
      <c r="E957" s="86">
        <f>'Бюджет 2026'!S709/12</f>
        <v>0</v>
      </c>
      <c r="F957" s="95"/>
      <c r="G957" s="95"/>
    </row>
    <row r="958">
      <c r="A958" s="2" t="s">
        <v>38</v>
      </c>
      <c r="B958" s="4" t="s">
        <v>9</v>
      </c>
      <c r="C958" s="4" t="s">
        <v>94</v>
      </c>
      <c r="D958" s="4">
        <v>4.0</v>
      </c>
      <c r="E958" s="86">
        <f>'Бюджет 2026'!S710/12</f>
        <v>0</v>
      </c>
      <c r="F958" s="95"/>
      <c r="G958" s="95"/>
    </row>
    <row r="959">
      <c r="A959" s="2" t="s">
        <v>39</v>
      </c>
      <c r="B959" s="4" t="s">
        <v>9</v>
      </c>
      <c r="C959" s="4" t="s">
        <v>94</v>
      </c>
      <c r="D959" s="4">
        <v>4.0</v>
      </c>
      <c r="E959" s="86">
        <v>250000.0</v>
      </c>
      <c r="F959" s="95"/>
      <c r="G959" s="95"/>
    </row>
    <row r="960">
      <c r="A960" s="2" t="s">
        <v>40</v>
      </c>
      <c r="B960" s="4" t="s">
        <v>27</v>
      </c>
      <c r="C960" s="4" t="s">
        <v>94</v>
      </c>
      <c r="D960" s="4">
        <v>4.0</v>
      </c>
      <c r="E960" s="12">
        <f>J960*0.35*(-1)</f>
        <v>0</v>
      </c>
      <c r="F960" s="95"/>
      <c r="G960" s="95"/>
      <c r="J960" s="23">
        <f>E955+E982</f>
        <v>0</v>
      </c>
    </row>
    <row r="961">
      <c r="A961" s="2" t="s">
        <v>41</v>
      </c>
      <c r="B961" s="4" t="s">
        <v>9</v>
      </c>
      <c r="C961" s="4" t="s">
        <v>94</v>
      </c>
      <c r="D961" s="4">
        <v>4.0</v>
      </c>
      <c r="E961" s="83">
        <v>-83333.3333333333</v>
      </c>
      <c r="F961" s="95"/>
      <c r="G961" s="95"/>
    </row>
    <row r="962">
      <c r="A962" s="2" t="s">
        <v>52</v>
      </c>
      <c r="B962" s="4" t="s">
        <v>9</v>
      </c>
      <c r="C962" s="4" t="s">
        <v>94</v>
      </c>
      <c r="D962" s="4">
        <v>4.0</v>
      </c>
      <c r="E962" s="83">
        <v>-33333.3333333333</v>
      </c>
      <c r="F962" s="95"/>
      <c r="G962" s="95"/>
    </row>
    <row r="963">
      <c r="A963" s="2" t="s">
        <v>57</v>
      </c>
      <c r="B963" s="4" t="s">
        <v>9</v>
      </c>
      <c r="C963" s="4" t="s">
        <v>94</v>
      </c>
      <c r="D963" s="4">
        <v>4.0</v>
      </c>
      <c r="E963" s="83">
        <v>-320000.0</v>
      </c>
      <c r="F963" s="95"/>
      <c r="G963" s="95"/>
    </row>
    <row r="964">
      <c r="A964" s="8" t="s">
        <v>7</v>
      </c>
      <c r="B964" s="12" t="s">
        <v>9</v>
      </c>
      <c r="C964" s="12" t="s">
        <v>95</v>
      </c>
      <c r="D964" s="12">
        <v>4.0</v>
      </c>
      <c r="E964" s="12" t="str">
        <f>'Макшанова'!AM722</f>
        <v/>
      </c>
      <c r="F964" s="20"/>
      <c r="G964" s="20"/>
    </row>
    <row r="965">
      <c r="A965" s="8" t="s">
        <v>32</v>
      </c>
      <c r="B965" s="12" t="s">
        <v>9</v>
      </c>
      <c r="C965" s="12" t="s">
        <v>95</v>
      </c>
      <c r="D965" s="12">
        <v>4.0</v>
      </c>
      <c r="E965" s="20">
        <f>36600+6100</f>
        <v>42700</v>
      </c>
      <c r="F965" s="20"/>
      <c r="G965" s="20"/>
    </row>
    <row r="966">
      <c r="A966" s="8" t="s">
        <v>37</v>
      </c>
      <c r="B966" s="12" t="s">
        <v>9</v>
      </c>
      <c r="C966" s="12" t="s">
        <v>95</v>
      </c>
      <c r="D966" s="12">
        <v>4.0</v>
      </c>
      <c r="E966" s="20">
        <f>'Бюджет 2026'!S690/12</f>
        <v>0</v>
      </c>
      <c r="F966" s="20"/>
      <c r="G966" s="20"/>
    </row>
    <row r="967">
      <c r="A967" s="8" t="s">
        <v>38</v>
      </c>
      <c r="B967" s="12" t="s">
        <v>9</v>
      </c>
      <c r="C967" s="12" t="s">
        <v>95</v>
      </c>
      <c r="D967" s="12">
        <v>4.0</v>
      </c>
      <c r="E967" s="20">
        <f>'Бюджет 2026'!S691/12</f>
        <v>0</v>
      </c>
      <c r="F967" s="20"/>
      <c r="G967" s="20"/>
    </row>
    <row r="968">
      <c r="A968" s="8" t="s">
        <v>39</v>
      </c>
      <c r="B968" s="12" t="s">
        <v>9</v>
      </c>
      <c r="C968" s="12" t="s">
        <v>95</v>
      </c>
      <c r="D968" s="12">
        <v>4.0</v>
      </c>
      <c r="E968" s="20">
        <v>250000.0</v>
      </c>
      <c r="F968" s="20"/>
      <c r="G968" s="20"/>
    </row>
    <row r="969">
      <c r="A969" s="8" t="s">
        <v>40</v>
      </c>
      <c r="B969" s="12" t="s">
        <v>27</v>
      </c>
      <c r="C969" s="12" t="s">
        <v>95</v>
      </c>
      <c r="D969" s="12">
        <v>4.0</v>
      </c>
      <c r="E969" s="12">
        <f>J969*0.35*(-1)</f>
        <v>0</v>
      </c>
      <c r="F969" s="20"/>
      <c r="G969" s="20"/>
      <c r="J969" s="23">
        <f>E964+E991</f>
        <v>0</v>
      </c>
    </row>
    <row r="970">
      <c r="A970" s="8" t="s">
        <v>41</v>
      </c>
      <c r="B970" s="12" t="s">
        <v>9</v>
      </c>
      <c r="C970" s="12" t="s">
        <v>95</v>
      </c>
      <c r="D970" s="12">
        <v>4.0</v>
      </c>
      <c r="E970" s="12">
        <v>-83333.3333333333</v>
      </c>
      <c r="F970" s="20"/>
      <c r="G970" s="20"/>
    </row>
    <row r="971">
      <c r="A971" s="8" t="s">
        <v>52</v>
      </c>
      <c r="B971" s="12" t="s">
        <v>9</v>
      </c>
      <c r="C971" s="12" t="s">
        <v>95</v>
      </c>
      <c r="D971" s="12">
        <v>4.0</v>
      </c>
      <c r="E971" s="12">
        <v>-33333.3333333333</v>
      </c>
      <c r="F971" s="20"/>
      <c r="G971" s="20"/>
    </row>
    <row r="972">
      <c r="A972" s="8" t="s">
        <v>57</v>
      </c>
      <c r="B972" s="12" t="s">
        <v>9</v>
      </c>
      <c r="C972" s="12" t="s">
        <v>95</v>
      </c>
      <c r="D972" s="12">
        <v>4.0</v>
      </c>
      <c r="E972" s="12">
        <v>-320000.0</v>
      </c>
      <c r="F972" s="20"/>
      <c r="G972" s="20"/>
    </row>
    <row r="973">
      <c r="A973" s="82" t="s">
        <v>7</v>
      </c>
      <c r="B973" s="4" t="s">
        <v>9</v>
      </c>
      <c r="C973" s="4" t="s">
        <v>96</v>
      </c>
      <c r="D973" s="4">
        <v>4.0</v>
      </c>
      <c r="E973" s="83" t="str">
        <f>'Макшанова'!AP703</f>
        <v/>
      </c>
      <c r="F973" s="95"/>
      <c r="G973" s="95"/>
    </row>
    <row r="974">
      <c r="A974" s="2" t="s">
        <v>32</v>
      </c>
      <c r="B974" s="4" t="s">
        <v>9</v>
      </c>
      <c r="C974" s="4" t="s">
        <v>96</v>
      </c>
      <c r="D974" s="4">
        <v>4.0</v>
      </c>
      <c r="E974" s="86">
        <f>36600+6100</f>
        <v>42700</v>
      </c>
      <c r="F974" s="95"/>
      <c r="G974" s="95"/>
    </row>
    <row r="975">
      <c r="A975" s="2" t="s">
        <v>37</v>
      </c>
      <c r="B975" s="4" t="s">
        <v>9</v>
      </c>
      <c r="C975" s="4" t="s">
        <v>96</v>
      </c>
      <c r="D975" s="4">
        <v>4.0</v>
      </c>
      <c r="E975" s="86">
        <f>'Бюджет 2026'!S671/12</f>
        <v>0</v>
      </c>
      <c r="F975" s="95"/>
      <c r="G975" s="95"/>
    </row>
    <row r="976">
      <c r="A976" s="82" t="s">
        <v>38</v>
      </c>
      <c r="B976" s="4" t="s">
        <v>9</v>
      </c>
      <c r="C976" s="4" t="s">
        <v>96</v>
      </c>
      <c r="D976" s="4">
        <v>4.0</v>
      </c>
      <c r="E976" s="86">
        <f>'Бюджет 2026'!S672/12</f>
        <v>0</v>
      </c>
      <c r="F976" s="95"/>
      <c r="G976" s="95"/>
    </row>
    <row r="977">
      <c r="A977" s="82" t="s">
        <v>39</v>
      </c>
      <c r="B977" s="4" t="s">
        <v>9</v>
      </c>
      <c r="C977" s="4" t="s">
        <v>96</v>
      </c>
      <c r="D977" s="4">
        <v>4.0</v>
      </c>
      <c r="E977" s="86">
        <v>250000.0</v>
      </c>
      <c r="F977" s="95"/>
      <c r="G977" s="95"/>
    </row>
    <row r="978">
      <c r="A978" s="82" t="s">
        <v>40</v>
      </c>
      <c r="B978" s="4" t="s">
        <v>27</v>
      </c>
      <c r="C978" s="4" t="s">
        <v>96</v>
      </c>
      <c r="D978" s="4">
        <v>4.0</v>
      </c>
      <c r="E978" s="12">
        <f>J978*0.35*(-1)</f>
        <v>0</v>
      </c>
      <c r="F978" s="95"/>
      <c r="G978" s="95"/>
      <c r="J978" s="23">
        <f>E973+E1000</f>
        <v>0</v>
      </c>
    </row>
    <row r="979">
      <c r="A979" s="82" t="s">
        <v>41</v>
      </c>
      <c r="B979" s="4" t="s">
        <v>9</v>
      </c>
      <c r="C979" s="4" t="s">
        <v>96</v>
      </c>
      <c r="D979" s="4">
        <v>4.0</v>
      </c>
      <c r="E979" s="83">
        <v>-83333.3333333333</v>
      </c>
      <c r="F979" s="95"/>
      <c r="G979" s="95"/>
    </row>
    <row r="980">
      <c r="A980" s="2" t="s">
        <v>52</v>
      </c>
      <c r="B980" s="4" t="s">
        <v>9</v>
      </c>
      <c r="C980" s="4" t="s">
        <v>96</v>
      </c>
      <c r="D980" s="4">
        <v>4.0</v>
      </c>
      <c r="E980" s="83">
        <v>-33333.3333333333</v>
      </c>
      <c r="F980" s="95"/>
      <c r="G980" s="95"/>
    </row>
    <row r="981">
      <c r="A981" s="2" t="s">
        <v>57</v>
      </c>
      <c r="B981" s="4" t="s">
        <v>9</v>
      </c>
      <c r="C981" s="4" t="s">
        <v>96</v>
      </c>
      <c r="D981" s="4">
        <v>4.0</v>
      </c>
      <c r="E981" s="83">
        <v>-320000.0</v>
      </c>
      <c r="F981" s="95"/>
      <c r="G981" s="95"/>
    </row>
  </sheetData>
  <dataValidations>
    <dataValidation type="list" allowBlank="1" showErrorMessage="1" sqref="C2:C109 C111:C218 C220:C327 C329:C436 C438:C545 C547:C654 C656:C763 C765:C872 C874:C981">
      <formula1>"01.Январь,02.Февраль,03.Март,04.Апрель,05.Май,06.Июнь,07.Июль,08.Август,09.Сентябрь,10.Октябрь,11.Ноябрь,12.Декабрь"</formula1>
    </dataValidation>
    <dataValidation type="list" allowBlank="1" showErrorMessage="1" sqref="B2:B109 B111:B218 B220:B327 B329:B436 B438:B545 B547:B654 B656:B763 B765:B872 B874:B981">
      <formula1>"Макшанова Л.М.,Сысоев В.С.,Павлова Д.И.,Львов С.А.,Гатих П.С."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6.83" defaultRowHeight="15.0"/>
  <cols>
    <col customWidth="1" min="1" max="1" width="33.67"/>
    <col customWidth="1" min="6" max="6" width="21.0"/>
  </cols>
  <sheetData>
    <row r="1">
      <c r="A1" s="193"/>
      <c r="B1" s="384" t="s">
        <v>525</v>
      </c>
      <c r="C1" s="385"/>
      <c r="D1" s="79"/>
      <c r="F1" s="387"/>
    </row>
    <row r="2">
      <c r="A2" s="193"/>
      <c r="B2" s="388"/>
      <c r="C2" s="79"/>
      <c r="D2" s="79"/>
    </row>
    <row r="3">
      <c r="C3" s="12" t="s">
        <v>526</v>
      </c>
      <c r="D3" s="12" t="s">
        <v>527</v>
      </c>
    </row>
    <row r="4">
      <c r="C4" s="27">
        <v>1.2E7</v>
      </c>
      <c r="D4" s="27">
        <f t="shared" ref="D4:D9" si="1">B4-C4</f>
        <v>-5869230</v>
      </c>
      <c r="E4" s="24"/>
    </row>
    <row r="5">
      <c r="C5" s="27">
        <v>3.5186E7</v>
      </c>
      <c r="D5" s="27">
        <f t="shared" si="1"/>
        <v>901665</v>
      </c>
      <c r="E5" s="24"/>
    </row>
    <row r="6">
      <c r="C6" s="27">
        <v>400000.0</v>
      </c>
      <c r="D6" s="27">
        <f t="shared" si="1"/>
        <v>-2400</v>
      </c>
      <c r="E6" s="24"/>
    </row>
    <row r="7">
      <c r="C7" s="27">
        <v>2500000.0</v>
      </c>
      <c r="D7" s="27">
        <f t="shared" si="1"/>
        <v>-902800</v>
      </c>
      <c r="E7" s="24"/>
    </row>
    <row r="8">
      <c r="C8" s="27">
        <v>3500000.0</v>
      </c>
      <c r="D8" s="27">
        <f t="shared" si="1"/>
        <v>-2903600</v>
      </c>
      <c r="E8" s="24"/>
    </row>
    <row r="9">
      <c r="C9" s="27">
        <v>3000000.0</v>
      </c>
      <c r="D9" s="27">
        <f t="shared" si="1"/>
        <v>-981600</v>
      </c>
      <c r="E9" s="24"/>
    </row>
    <row r="10">
      <c r="C10" s="27">
        <v>1.673909529E7</v>
      </c>
      <c r="D10" s="27">
        <f t="shared" ref="D10:D31" si="2">B10+C10</f>
        <v>1157643.04</v>
      </c>
      <c r="E10" s="24"/>
    </row>
    <row r="11">
      <c r="C11" s="27">
        <v>1250000.0</v>
      </c>
      <c r="D11" s="27">
        <f t="shared" si="2"/>
        <v>321800</v>
      </c>
      <c r="E11" s="24"/>
    </row>
    <row r="12">
      <c r="C12" s="42">
        <v>1000000.0</v>
      </c>
      <c r="D12" s="392">
        <f t="shared" si="2"/>
        <v>226400</v>
      </c>
      <c r="E12" s="24"/>
    </row>
    <row r="13">
      <c r="C13" s="42">
        <v>500000.0</v>
      </c>
      <c r="D13" s="392">
        <f t="shared" si="2"/>
        <v>475000</v>
      </c>
      <c r="E13" s="24"/>
    </row>
    <row r="14">
      <c r="C14" s="42">
        <v>3000000.0</v>
      </c>
      <c r="D14" s="392">
        <f t="shared" si="2"/>
        <v>1920000</v>
      </c>
      <c r="E14" s="24"/>
    </row>
    <row r="15">
      <c r="C15" s="42">
        <v>3000000.0</v>
      </c>
      <c r="D15" s="392">
        <f t="shared" si="2"/>
        <v>2350000</v>
      </c>
      <c r="E15" s="24"/>
    </row>
    <row r="16">
      <c r="C16" s="42">
        <v>4000000.0</v>
      </c>
      <c r="D16" s="392">
        <f t="shared" si="2"/>
        <v>2277340</v>
      </c>
      <c r="E16" s="24"/>
    </row>
    <row r="17">
      <c r="C17" s="42">
        <v>400000.0</v>
      </c>
      <c r="D17" s="392">
        <f t="shared" si="2"/>
        <v>-1883311.137</v>
      </c>
      <c r="E17" s="24"/>
    </row>
    <row r="18">
      <c r="C18" s="42">
        <v>1872000.0</v>
      </c>
      <c r="D18" s="392">
        <f t="shared" si="2"/>
        <v>-2127999.96</v>
      </c>
      <c r="E18" s="24"/>
    </row>
    <row r="19">
      <c r="C19" s="42">
        <v>3840000.0</v>
      </c>
      <c r="D19" s="392">
        <f t="shared" si="2"/>
        <v>3453333.333</v>
      </c>
      <c r="E19" s="24"/>
      <c r="G19" s="393"/>
    </row>
    <row r="20">
      <c r="C20" s="42">
        <v>1000000.0</v>
      </c>
      <c r="D20" s="392">
        <f t="shared" si="2"/>
        <v>-560000</v>
      </c>
      <c r="E20" s="24"/>
    </row>
    <row r="21">
      <c r="C21" s="42">
        <v>1000000.0</v>
      </c>
      <c r="D21" s="392">
        <f t="shared" si="2"/>
        <v>-2840000</v>
      </c>
      <c r="E21" s="24"/>
    </row>
    <row r="22">
      <c r="C22" s="42">
        <v>3970100.47</v>
      </c>
      <c r="D22" s="392">
        <f t="shared" si="2"/>
        <v>3220100.47</v>
      </c>
      <c r="E22" s="24"/>
    </row>
    <row r="23">
      <c r="C23" s="42">
        <v>70000.0</v>
      </c>
      <c r="D23" s="392">
        <f t="shared" si="2"/>
        <v>-1030000</v>
      </c>
      <c r="E23" s="24"/>
    </row>
    <row r="24">
      <c r="C24" s="42">
        <v>50000.0</v>
      </c>
      <c r="D24" s="392">
        <f t="shared" si="2"/>
        <v>-2380000</v>
      </c>
      <c r="E24" s="24"/>
    </row>
    <row r="25">
      <c r="C25" s="42">
        <v>1000000.0</v>
      </c>
      <c r="D25" s="392">
        <f t="shared" si="2"/>
        <v>929992</v>
      </c>
      <c r="E25" s="24"/>
    </row>
    <row r="26">
      <c r="C26" s="335">
        <v>150000.0</v>
      </c>
      <c r="D26" s="392">
        <f t="shared" si="2"/>
        <v>100000</v>
      </c>
      <c r="E26" s="24"/>
    </row>
    <row r="27">
      <c r="C27" s="335">
        <v>500000.0</v>
      </c>
      <c r="D27" s="392">
        <f t="shared" si="2"/>
        <v>-940000</v>
      </c>
      <c r="E27" s="24"/>
    </row>
    <row r="28">
      <c r="C28" s="42">
        <v>5000000.0</v>
      </c>
      <c r="D28" s="392">
        <f t="shared" si="2"/>
        <v>4796000</v>
      </c>
      <c r="E28" s="24"/>
    </row>
    <row r="29">
      <c r="C29" s="42">
        <v>100000.0</v>
      </c>
      <c r="D29" s="392">
        <f t="shared" si="2"/>
        <v>-549920</v>
      </c>
      <c r="E29" s="24"/>
    </row>
    <row r="30">
      <c r="C30" s="42">
        <v>100000.0</v>
      </c>
      <c r="D30" s="392">
        <f t="shared" si="2"/>
        <v>-4370000</v>
      </c>
      <c r="E30" s="24"/>
    </row>
    <row r="31">
      <c r="C31" s="42">
        <v>3970100.47</v>
      </c>
      <c r="D31" s="392">
        <f t="shared" si="2"/>
        <v>3700000.47</v>
      </c>
      <c r="E31" s="24"/>
    </row>
    <row r="32">
      <c r="C32" s="27">
        <f t="shared" ref="C32:D32" si="3">SUM(C4:C31)</f>
        <v>109097296.2</v>
      </c>
      <c r="D32" s="392">
        <f t="shared" si="3"/>
        <v>-1511586.784</v>
      </c>
      <c r="E32" s="24"/>
    </row>
    <row r="33">
      <c r="D33" s="16"/>
    </row>
    <row r="34"/>
  </sheetData>
  <autoFilter ref="$A$3:$AA$32"/>
  <conditionalFormatting sqref="K19">
    <cfRule type="notContainsBlanks" dxfId="6" priority="1">
      <formula>LEN(TRIM(K19))&gt;0</formula>
    </cfRule>
  </conditionalFormatting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0"/>
  <cols>
    <col customWidth="1" min="1" max="1" width="34.33"/>
    <col customWidth="1" min="5" max="5" width="20.0"/>
  </cols>
  <sheetData>
    <row r="1">
      <c r="A1" s="395"/>
      <c r="B1" s="65"/>
      <c r="C1" s="67"/>
      <c r="D1" s="396">
        <v>1.0</v>
      </c>
      <c r="E1" s="65"/>
      <c r="F1" s="65"/>
      <c r="G1" s="65"/>
      <c r="H1" s="65"/>
      <c r="I1" s="67"/>
      <c r="J1" s="396">
        <v>2.0</v>
      </c>
      <c r="K1" s="65"/>
      <c r="L1" s="65"/>
      <c r="M1" s="65"/>
      <c r="N1" s="65"/>
      <c r="O1" s="67"/>
      <c r="P1" s="396">
        <v>3.0</v>
      </c>
      <c r="Q1" s="65"/>
      <c r="R1" s="65"/>
      <c r="S1" s="65"/>
      <c r="T1" s="67"/>
      <c r="U1" s="397"/>
      <c r="V1" s="396">
        <v>4.0</v>
      </c>
      <c r="W1" s="65"/>
      <c r="X1" s="65"/>
      <c r="Y1" s="65"/>
      <c r="Z1" s="65"/>
      <c r="AA1" s="67"/>
      <c r="AB1" s="397"/>
      <c r="AC1" s="397"/>
    </row>
    <row r="2">
      <c r="A2" s="395"/>
      <c r="B2" s="65"/>
      <c r="C2" s="67"/>
      <c r="D2" s="396" t="s">
        <v>532</v>
      </c>
      <c r="E2" s="67"/>
      <c r="F2" s="396" t="s">
        <v>533</v>
      </c>
      <c r="G2" s="67"/>
      <c r="H2" s="396" t="s">
        <v>534</v>
      </c>
      <c r="I2" s="67"/>
      <c r="J2" s="396" t="s">
        <v>535</v>
      </c>
      <c r="K2" s="67"/>
      <c r="L2" s="396" t="s">
        <v>536</v>
      </c>
      <c r="M2" s="67"/>
      <c r="N2" s="396" t="s">
        <v>537</v>
      </c>
      <c r="O2" s="67"/>
      <c r="P2" s="396" t="s">
        <v>538</v>
      </c>
      <c r="Q2" s="67"/>
      <c r="R2" s="396" t="s">
        <v>539</v>
      </c>
      <c r="S2" s="67"/>
      <c r="T2" s="396" t="s">
        <v>540</v>
      </c>
      <c r="U2" s="67"/>
      <c r="V2" s="396" t="s">
        <v>541</v>
      </c>
      <c r="W2" s="67"/>
      <c r="X2" s="396" t="s">
        <v>542</v>
      </c>
      <c r="Y2" s="67"/>
      <c r="Z2" s="396" t="s">
        <v>543</v>
      </c>
      <c r="AA2" s="67"/>
      <c r="AB2" s="396" t="s">
        <v>544</v>
      </c>
      <c r="AC2" s="67"/>
    </row>
    <row r="3">
      <c r="A3" s="13"/>
      <c r="B3" s="17" t="s">
        <v>29</v>
      </c>
      <c r="C3" s="398" t="s">
        <v>31</v>
      </c>
      <c r="D3" s="399" t="s">
        <v>545</v>
      </c>
      <c r="E3" s="399" t="s">
        <v>5</v>
      </c>
      <c r="F3" s="399" t="s">
        <v>545</v>
      </c>
      <c r="G3" s="399" t="s">
        <v>5</v>
      </c>
      <c r="H3" s="399" t="s">
        <v>545</v>
      </c>
      <c r="I3" s="399" t="s">
        <v>5</v>
      </c>
      <c r="J3" s="399" t="s">
        <v>545</v>
      </c>
      <c r="K3" s="399" t="s">
        <v>5</v>
      </c>
      <c r="L3" s="399" t="s">
        <v>545</v>
      </c>
      <c r="M3" s="399" t="s">
        <v>5</v>
      </c>
      <c r="N3" s="399" t="s">
        <v>545</v>
      </c>
      <c r="O3" s="399" t="s">
        <v>5</v>
      </c>
      <c r="P3" s="399" t="s">
        <v>545</v>
      </c>
      <c r="Q3" s="399" t="s">
        <v>5</v>
      </c>
      <c r="R3" s="399" t="s">
        <v>545</v>
      </c>
      <c r="S3" s="399" t="s">
        <v>5</v>
      </c>
      <c r="T3" s="399" t="s">
        <v>545</v>
      </c>
      <c r="U3" s="399" t="s">
        <v>5</v>
      </c>
      <c r="V3" s="399" t="s">
        <v>545</v>
      </c>
      <c r="W3" s="399" t="s">
        <v>5</v>
      </c>
      <c r="X3" s="399" t="s">
        <v>545</v>
      </c>
      <c r="Y3" s="399" t="s">
        <v>5</v>
      </c>
      <c r="Z3" s="399" t="s">
        <v>545</v>
      </c>
      <c r="AA3" s="399" t="s">
        <v>5</v>
      </c>
      <c r="AB3" s="399" t="s">
        <v>545</v>
      </c>
      <c r="AC3" s="399" t="s">
        <v>5</v>
      </c>
    </row>
    <row r="4">
      <c r="A4" s="28" t="s">
        <v>33</v>
      </c>
      <c r="B4" s="42">
        <v>4.7315721E7</v>
      </c>
      <c r="C4" s="26" t="s">
        <v>9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27">
        <f t="shared" ref="AB4:AB30" si="1">B4</f>
        <v>47315721</v>
      </c>
      <c r="AC4" s="16">
        <f t="shared" ref="AC4:AC30" si="2">E4+G4+I4+K4+M4+O4+Q4+S4+U4+W4+Y4+AA4</f>
        <v>0</v>
      </c>
    </row>
    <row r="5">
      <c r="A5" s="28" t="s">
        <v>47</v>
      </c>
      <c r="B5" s="42">
        <v>400000.0</v>
      </c>
      <c r="C5" s="26" t="s">
        <v>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27">
        <f t="shared" si="1"/>
        <v>400000</v>
      </c>
      <c r="AC5" s="16">
        <f t="shared" si="2"/>
        <v>0</v>
      </c>
    </row>
    <row r="6">
      <c r="A6" s="28" t="s">
        <v>55</v>
      </c>
      <c r="B6" s="56">
        <v>2500000.0</v>
      </c>
      <c r="C6" s="26" t="s">
        <v>9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27">
        <f t="shared" si="1"/>
        <v>2500000</v>
      </c>
      <c r="AC6" s="16">
        <f t="shared" si="2"/>
        <v>0</v>
      </c>
    </row>
    <row r="7">
      <c r="A7" s="28" t="s">
        <v>65</v>
      </c>
      <c r="B7" s="42">
        <v>3500000.0</v>
      </c>
      <c r="C7" s="26" t="s">
        <v>9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27">
        <f t="shared" si="1"/>
        <v>3500000</v>
      </c>
      <c r="AC7" s="16">
        <f t="shared" si="2"/>
        <v>0</v>
      </c>
    </row>
    <row r="8">
      <c r="A8" s="28" t="s">
        <v>74</v>
      </c>
      <c r="B8" s="42">
        <v>3000000.0</v>
      </c>
      <c r="C8" s="26" t="s">
        <v>9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27">
        <f t="shared" si="1"/>
        <v>3000000</v>
      </c>
      <c r="AC8" s="16">
        <f t="shared" si="2"/>
        <v>0</v>
      </c>
    </row>
    <row r="9">
      <c r="A9" s="28" t="s">
        <v>104</v>
      </c>
      <c r="B9" s="42">
        <v>1.673909529E7</v>
      </c>
      <c r="C9" s="26" t="s">
        <v>27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27">
        <f t="shared" si="1"/>
        <v>16739095.29</v>
      </c>
      <c r="AC9" s="16">
        <f t="shared" si="2"/>
        <v>0</v>
      </c>
    </row>
    <row r="10">
      <c r="A10" s="28" t="s">
        <v>113</v>
      </c>
      <c r="B10" s="42">
        <v>1250000.0</v>
      </c>
      <c r="C10" s="26" t="s">
        <v>9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27">
        <f t="shared" si="1"/>
        <v>1250000</v>
      </c>
      <c r="AC10" s="16">
        <f t="shared" si="2"/>
        <v>0</v>
      </c>
    </row>
    <row r="11">
      <c r="A11" s="28" t="s">
        <v>141</v>
      </c>
      <c r="B11" s="42">
        <v>1000000.0</v>
      </c>
      <c r="C11" s="26" t="s">
        <v>27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27">
        <f t="shared" si="1"/>
        <v>1000000</v>
      </c>
      <c r="AC11" s="16">
        <f t="shared" si="2"/>
        <v>0</v>
      </c>
    </row>
    <row r="12">
      <c r="A12" s="28" t="s">
        <v>150</v>
      </c>
      <c r="B12" s="42">
        <v>500000.0</v>
      </c>
      <c r="C12" s="26" t="s">
        <v>27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27">
        <f t="shared" si="1"/>
        <v>500000</v>
      </c>
      <c r="AC12" s="16">
        <f t="shared" si="2"/>
        <v>0</v>
      </c>
    </row>
    <row r="13">
      <c r="A13" s="28" t="s">
        <v>154</v>
      </c>
      <c r="B13" s="42">
        <v>3000000.0</v>
      </c>
      <c r="C13" s="26" t="s">
        <v>27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27">
        <f t="shared" si="1"/>
        <v>3000000</v>
      </c>
      <c r="AC13" s="16">
        <f t="shared" si="2"/>
        <v>0</v>
      </c>
    </row>
    <row r="14">
      <c r="A14" s="28" t="s">
        <v>156</v>
      </c>
      <c r="B14" s="42">
        <v>3000000.0</v>
      </c>
      <c r="C14" s="26" t="s">
        <v>27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27">
        <f t="shared" si="1"/>
        <v>3000000</v>
      </c>
      <c r="AC14" s="16">
        <f t="shared" si="2"/>
        <v>0</v>
      </c>
    </row>
    <row r="15">
      <c r="A15" s="28" t="s">
        <v>159</v>
      </c>
      <c r="B15" s="42">
        <v>4000000.0</v>
      </c>
      <c r="C15" s="26" t="s">
        <v>54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27">
        <f t="shared" si="1"/>
        <v>4000000</v>
      </c>
      <c r="AC15" s="16">
        <f t="shared" si="2"/>
        <v>0</v>
      </c>
    </row>
    <row r="16">
      <c r="A16" s="28" t="s">
        <v>163</v>
      </c>
      <c r="B16" s="42">
        <v>400000.0</v>
      </c>
      <c r="C16" s="26" t="s">
        <v>9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27">
        <f t="shared" si="1"/>
        <v>400000</v>
      </c>
      <c r="AC16" s="16">
        <f t="shared" si="2"/>
        <v>0</v>
      </c>
    </row>
    <row r="17">
      <c r="A17" s="28" t="s">
        <v>194</v>
      </c>
      <c r="B17" s="42">
        <v>1872000.0</v>
      </c>
      <c r="C17" s="26" t="s">
        <v>58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27">
        <f t="shared" si="1"/>
        <v>1872000</v>
      </c>
      <c r="AC17" s="16">
        <f t="shared" si="2"/>
        <v>0</v>
      </c>
    </row>
    <row r="18">
      <c r="A18" s="28" t="s">
        <v>222</v>
      </c>
      <c r="B18" s="42">
        <v>3840000.0</v>
      </c>
      <c r="C18" s="26" t="s">
        <v>9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27">
        <f t="shared" si="1"/>
        <v>3840000</v>
      </c>
      <c r="AC18" s="16">
        <f t="shared" si="2"/>
        <v>0</v>
      </c>
    </row>
    <row r="19">
      <c r="A19" s="28" t="s">
        <v>235</v>
      </c>
      <c r="B19" s="42">
        <v>1000000.0</v>
      </c>
      <c r="C19" s="26" t="s">
        <v>58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27">
        <f t="shared" si="1"/>
        <v>1000000</v>
      </c>
      <c r="AC19" s="16">
        <f t="shared" si="2"/>
        <v>0</v>
      </c>
    </row>
    <row r="20">
      <c r="A20" s="28" t="s">
        <v>238</v>
      </c>
      <c r="B20" s="42">
        <v>1000000.0</v>
      </c>
      <c r="C20" s="26" t="s">
        <v>58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27">
        <f t="shared" si="1"/>
        <v>1000000</v>
      </c>
      <c r="AC20" s="16">
        <f t="shared" si="2"/>
        <v>0</v>
      </c>
    </row>
    <row r="21">
      <c r="A21" s="28" t="s">
        <v>276</v>
      </c>
      <c r="B21" s="42">
        <v>3970100.47</v>
      </c>
      <c r="C21" s="26" t="s">
        <v>54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27">
        <f t="shared" si="1"/>
        <v>3970100.47</v>
      </c>
      <c r="AC21" s="16">
        <f t="shared" si="2"/>
        <v>0</v>
      </c>
    </row>
    <row r="22">
      <c r="A22" s="28" t="s">
        <v>284</v>
      </c>
      <c r="B22" s="42">
        <v>70000.0</v>
      </c>
      <c r="C22" s="26" t="s">
        <v>66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27">
        <f t="shared" si="1"/>
        <v>70000</v>
      </c>
      <c r="AC22" s="16">
        <f t="shared" si="2"/>
        <v>0</v>
      </c>
    </row>
    <row r="23">
      <c r="A23" s="28" t="s">
        <v>288</v>
      </c>
      <c r="B23" s="42">
        <v>50000.0</v>
      </c>
      <c r="C23" s="26" t="s">
        <v>54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27">
        <f t="shared" si="1"/>
        <v>50000</v>
      </c>
      <c r="AC23" s="16">
        <f t="shared" si="2"/>
        <v>0</v>
      </c>
    </row>
    <row r="24">
      <c r="A24" s="28" t="s">
        <v>302</v>
      </c>
      <c r="B24" s="42">
        <v>1000000.0</v>
      </c>
      <c r="C24" s="26" t="s">
        <v>54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27">
        <f t="shared" si="1"/>
        <v>1000000</v>
      </c>
      <c r="AC24" s="16">
        <f t="shared" si="2"/>
        <v>0</v>
      </c>
    </row>
    <row r="25">
      <c r="A25" s="28" t="s">
        <v>306</v>
      </c>
      <c r="B25" s="335">
        <v>150000.0</v>
      </c>
      <c r="C25" s="26" t="s">
        <v>66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27">
        <f t="shared" si="1"/>
        <v>150000</v>
      </c>
      <c r="AC25" s="16">
        <f t="shared" si="2"/>
        <v>0</v>
      </c>
    </row>
    <row r="26">
      <c r="A26" s="28" t="s">
        <v>315</v>
      </c>
      <c r="B26" s="335">
        <v>500000.0</v>
      </c>
      <c r="C26" s="26" t="s">
        <v>66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27">
        <f t="shared" si="1"/>
        <v>500000</v>
      </c>
      <c r="AC26" s="16">
        <f t="shared" si="2"/>
        <v>0</v>
      </c>
    </row>
    <row r="27">
      <c r="A27" s="28" t="s">
        <v>331</v>
      </c>
      <c r="B27" s="42">
        <v>5000000.0</v>
      </c>
      <c r="C27" s="26" t="s">
        <v>58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27">
        <f t="shared" si="1"/>
        <v>5000000</v>
      </c>
      <c r="AC27" s="16">
        <f t="shared" si="2"/>
        <v>0</v>
      </c>
    </row>
    <row r="28">
      <c r="A28" s="28" t="s">
        <v>334</v>
      </c>
      <c r="B28" s="42">
        <v>100000.0</v>
      </c>
      <c r="C28" s="26" t="s">
        <v>54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27">
        <f t="shared" si="1"/>
        <v>100000</v>
      </c>
      <c r="AC28" s="16">
        <f t="shared" si="2"/>
        <v>0</v>
      </c>
    </row>
    <row r="29">
      <c r="A29" s="28" t="s">
        <v>348</v>
      </c>
      <c r="B29" s="42">
        <v>100000.0</v>
      </c>
      <c r="C29" s="26" t="s">
        <v>58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27">
        <f t="shared" si="1"/>
        <v>100000</v>
      </c>
      <c r="AC29" s="16">
        <f t="shared" si="2"/>
        <v>0</v>
      </c>
    </row>
    <row r="30">
      <c r="A30" s="338" t="s">
        <v>353</v>
      </c>
      <c r="B30" s="42">
        <v>3970100.47</v>
      </c>
      <c r="C30" s="26" t="s">
        <v>54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27">
        <f t="shared" si="1"/>
        <v>3970100.47</v>
      </c>
      <c r="AC30" s="16">
        <f t="shared" si="2"/>
        <v>0</v>
      </c>
    </row>
    <row r="34">
      <c r="A34" s="16" t="s">
        <v>7</v>
      </c>
      <c r="B34" s="42">
        <v>4.7315721E7</v>
      </c>
    </row>
    <row r="35">
      <c r="A35" s="16" t="s">
        <v>26</v>
      </c>
      <c r="B35" s="42"/>
    </row>
    <row r="36">
      <c r="A36" s="16" t="s">
        <v>32</v>
      </c>
      <c r="B36" s="42">
        <v>400000.0</v>
      </c>
    </row>
    <row r="37">
      <c r="A37" s="16" t="s">
        <v>554</v>
      </c>
      <c r="B37" s="42"/>
    </row>
    <row r="38">
      <c r="A38" s="16" t="s">
        <v>37</v>
      </c>
      <c r="B38" s="56">
        <v>2500000.0</v>
      </c>
    </row>
    <row r="39">
      <c r="A39" s="16" t="s">
        <v>555</v>
      </c>
      <c r="B39" s="56"/>
    </row>
    <row r="40">
      <c r="A40" s="16" t="s">
        <v>38</v>
      </c>
      <c r="B40" s="42">
        <v>3500000.0</v>
      </c>
    </row>
    <row r="41">
      <c r="A41" s="16" t="s">
        <v>556</v>
      </c>
      <c r="B41" s="42"/>
    </row>
    <row r="42">
      <c r="A42" s="16" t="s">
        <v>39</v>
      </c>
      <c r="B42" s="42">
        <v>3000000.0</v>
      </c>
    </row>
    <row r="43">
      <c r="A43" s="16" t="s">
        <v>557</v>
      </c>
      <c r="B43" s="42"/>
    </row>
    <row r="44">
      <c r="A44" s="16" t="s">
        <v>40</v>
      </c>
      <c r="B44" s="42">
        <v>1.673909529E7</v>
      </c>
    </row>
    <row r="45">
      <c r="A45" s="16" t="s">
        <v>41</v>
      </c>
      <c r="B45" s="42">
        <v>1250000.0</v>
      </c>
    </row>
    <row r="46">
      <c r="A46" s="16" t="s">
        <v>43</v>
      </c>
      <c r="B46" s="42">
        <v>1000000.0</v>
      </c>
    </row>
    <row r="47">
      <c r="A47" s="16" t="s">
        <v>44</v>
      </c>
      <c r="B47" s="42">
        <v>500000.0</v>
      </c>
    </row>
    <row r="48">
      <c r="A48" s="16" t="s">
        <v>46</v>
      </c>
      <c r="B48" s="42">
        <v>3000000.0</v>
      </c>
    </row>
    <row r="49">
      <c r="A49" s="16" t="s">
        <v>48</v>
      </c>
      <c r="B49" s="42">
        <v>3000000.0</v>
      </c>
    </row>
    <row r="50">
      <c r="A50" s="16" t="s">
        <v>51</v>
      </c>
      <c r="B50" s="42">
        <v>4000000.0</v>
      </c>
    </row>
    <row r="51">
      <c r="A51" s="16" t="s">
        <v>52</v>
      </c>
      <c r="B51" s="42">
        <v>400000.0</v>
      </c>
    </row>
    <row r="52">
      <c r="A52" s="16" t="s">
        <v>56</v>
      </c>
      <c r="B52" s="42">
        <v>1872000.0</v>
      </c>
    </row>
    <row r="53">
      <c r="A53" s="16" t="s">
        <v>57</v>
      </c>
      <c r="B53" s="42">
        <v>3840000.0</v>
      </c>
    </row>
    <row r="54">
      <c r="A54" s="16" t="s">
        <v>59</v>
      </c>
      <c r="B54" s="42">
        <v>1000000.0</v>
      </c>
    </row>
    <row r="55">
      <c r="A55" s="16" t="s">
        <v>60</v>
      </c>
      <c r="B55" s="42">
        <v>1000000.0</v>
      </c>
    </row>
    <row r="56">
      <c r="A56" s="16" t="s">
        <v>61</v>
      </c>
      <c r="B56" s="42">
        <v>3970100.47</v>
      </c>
    </row>
    <row r="57">
      <c r="A57" s="16" t="s">
        <v>62</v>
      </c>
      <c r="B57" s="42">
        <v>70000.0</v>
      </c>
    </row>
    <row r="58">
      <c r="A58" s="16" t="s">
        <v>64</v>
      </c>
      <c r="B58" s="42">
        <v>50000.0</v>
      </c>
    </row>
    <row r="59">
      <c r="A59" s="16" t="s">
        <v>67</v>
      </c>
      <c r="B59" s="42">
        <v>1000000.0</v>
      </c>
    </row>
    <row r="60">
      <c r="A60" s="16" t="s">
        <v>68</v>
      </c>
      <c r="B60" s="335">
        <v>150000.0</v>
      </c>
    </row>
    <row r="61">
      <c r="A61" s="16" t="s">
        <v>69</v>
      </c>
      <c r="B61" s="335">
        <v>500000.0</v>
      </c>
    </row>
    <row r="62">
      <c r="A62" s="16" t="s">
        <v>70</v>
      </c>
      <c r="B62" s="42">
        <v>5000000.0</v>
      </c>
    </row>
    <row r="63">
      <c r="A63" s="16" t="s">
        <v>71</v>
      </c>
      <c r="B63" s="42">
        <v>100000.0</v>
      </c>
    </row>
    <row r="64">
      <c r="A64" s="16" t="s">
        <v>72</v>
      </c>
      <c r="B64" s="42">
        <v>100000.0</v>
      </c>
    </row>
    <row r="65">
      <c r="A65" s="16" t="s">
        <v>73</v>
      </c>
      <c r="B65" s="42">
        <v>3970100.47</v>
      </c>
    </row>
    <row r="67">
      <c r="A67" s="24" t="s">
        <v>558</v>
      </c>
      <c r="B67" s="24" t="s">
        <v>559</v>
      </c>
      <c r="C67" s="24" t="s">
        <v>560</v>
      </c>
      <c r="D67" s="24" t="s">
        <v>561</v>
      </c>
      <c r="E67" s="24" t="s">
        <v>562</v>
      </c>
      <c r="F67" s="24" t="s">
        <v>563</v>
      </c>
    </row>
    <row r="68">
      <c r="A68" s="23">
        <f>SUM('Помесячно Заполнить ответственн'!E7,'Помесячно Заполнить ответственн'!E9,'Помесячно Заполнить ответственн'!E10,'Помесячно Заполнить ответственн'!E11,'Помесячно Заполнить ответственн'!E12,'Помесячно Заполнить ответственн'!E14,'Помесячно Заполнить ответственн'!E15,'Помесячно Заполнить ответственн'!E16,'Помесячно Заполнить ответственн'!E25)</f>
        <v>-927533.33</v>
      </c>
      <c r="B68" s="24" t="s">
        <v>564</v>
      </c>
      <c r="C68" s="24">
        <v>1100000.0</v>
      </c>
      <c r="D68" s="24">
        <v>621980.0</v>
      </c>
      <c r="E68" s="23">
        <f t="shared" ref="E68:E71" si="3">(A68+C68+D68)*(-1)</f>
        <v>-794446.67</v>
      </c>
      <c r="F68" s="23">
        <f t="shared" ref="F68:F79" si="4">A68/100*30</f>
        <v>-278259.999</v>
      </c>
    </row>
    <row r="69">
      <c r="A69" s="23">
        <f>SUM('Помесячно Заполнить ответственн'!E35,'Помесячно Заполнить ответственн'!E37,'Помесячно Заполнить ответственн'!E38,'Помесячно Заполнить ответственн'!E39,'Помесячно Заполнить ответственн'!E40,'Помесячно Заполнить ответственн'!E42,'Помесячно Заполнить ответственн'!E43,'Помесячно Заполнить ответственн'!E44,'Помесячно Заполнить ответственн'!E53)</f>
        <v>-1150646.663</v>
      </c>
      <c r="B69" s="24" t="s">
        <v>565</v>
      </c>
      <c r="C69" s="24">
        <v>1100000.0</v>
      </c>
      <c r="D69" s="24">
        <v>1136000.0</v>
      </c>
      <c r="E69" s="23">
        <f t="shared" si="3"/>
        <v>-1085353.337</v>
      </c>
      <c r="F69" s="23">
        <f t="shared" si="4"/>
        <v>-345193.999</v>
      </c>
    </row>
    <row r="70">
      <c r="A70" s="23">
        <f>SUM('Помесячно Заполнить ответственн'!E63,'Помесячно Заполнить ответственн'!E65,'Помесячно Заполнить ответственн'!E66,'Помесячно Заполнить ответственн'!E67,'Помесячно Заполнить ответственн'!E68,'Помесячно Заполнить ответственн'!E70,'Помесячно Заполнить ответственн'!E71,'Помесячно Заполнить ответственн'!E72,'Помесячно Заполнить ответственн'!E81)</f>
        <v>-2542747.045</v>
      </c>
      <c r="B70" s="24" t="s">
        <v>566</v>
      </c>
      <c r="C70" s="24">
        <v>1100000.0</v>
      </c>
      <c r="D70" s="24">
        <v>1306500.0</v>
      </c>
      <c r="E70" s="23">
        <f t="shared" si="3"/>
        <v>136247.0455</v>
      </c>
      <c r="F70" s="23">
        <f t="shared" si="4"/>
        <v>-762824.1136</v>
      </c>
    </row>
    <row r="71">
      <c r="A71" s="23">
        <f>sum('Помесячно Заполнить ответственн'!E91,'Помесячно Заполнить ответственн'!E93,'Помесячно Заполнить ответственн'!E94,'Помесячно Заполнить ответственн'!E95,'Помесячно Заполнить ответственн'!E96,'Помесячно Заполнить ответственн'!E98,'Помесячно Заполнить ответственн'!E99,'Помесячно Заполнить ответственн'!E100,'Помесячно Заполнить ответственн'!E109)</f>
        <v>-2520563.333</v>
      </c>
      <c r="B71" s="24" t="s">
        <v>567</v>
      </c>
      <c r="C71" s="24">
        <v>1100000.0</v>
      </c>
      <c r="D71" s="24">
        <v>1306500.0</v>
      </c>
      <c r="E71" s="23">
        <f t="shared" si="3"/>
        <v>114063.3333</v>
      </c>
      <c r="F71" s="23">
        <f t="shared" si="4"/>
        <v>-756169</v>
      </c>
    </row>
    <row r="72">
      <c r="A72" s="23">
        <f>Sum('Помесячно Заполнить ответственн'!E119,'Помесячно Заполнить ответственн'!E121,'Помесячно Заполнить ответственн'!E122,'Помесячно Заполнить ответственн'!E123,'Помесячно Заполнить ответственн'!E124,'Помесячно Заполнить ответственн'!E126,'Помесячно Заполнить ответственн'!E127,'Помесячно Заполнить ответственн'!E128,'Помесячно Заполнить ответственн'!E137)</f>
        <v>-2531833.333</v>
      </c>
      <c r="B72" s="24" t="s">
        <v>566</v>
      </c>
      <c r="C72" s="24">
        <v>1100000.0</v>
      </c>
      <c r="D72" s="24">
        <f>(A72+C72)*(-1)</f>
        <v>1431833.333</v>
      </c>
      <c r="F72" s="23">
        <f t="shared" si="4"/>
        <v>-759550</v>
      </c>
    </row>
    <row r="73">
      <c r="A73" s="23">
        <f>SUM('Помесячно Заполнить ответственн'!E147,'Помесячно Заполнить ответственн'!E149,'Помесячно Заполнить ответственн'!E150,'Помесячно Заполнить ответственн'!E151,'Помесячно Заполнить ответственн'!E152,'Помесячно Заполнить ответственн'!E154,'Помесячно Заполнить ответственн'!E155,'Помесячно Заполнить ответственн'!E156,'Помесячно Заполнить ответственн'!E165)</f>
        <v>-3355347.619</v>
      </c>
      <c r="B73" s="24" t="s">
        <v>568</v>
      </c>
      <c r="C73" s="24">
        <v>1100000.0</v>
      </c>
      <c r="D73" s="24">
        <v>1306500.0</v>
      </c>
      <c r="E73" s="23">
        <f t="shared" ref="E73:E79" si="5">(A73+C73+D73)*(-1)</f>
        <v>948847.619</v>
      </c>
      <c r="F73" s="23">
        <f t="shared" si="4"/>
        <v>-1006604.286</v>
      </c>
    </row>
    <row r="74">
      <c r="A74" s="23">
        <f>SUM('Помесячно Заполнить ответственн'!E175,'Помесячно Заполнить ответственн'!E177,'Помесячно Заполнить ответственн'!E178,'Помесячно Заполнить ответственн'!E179,'Помесячно Заполнить ответственн'!E180,'Помесячно Заполнить ответственн'!E182,'Помесячно Заполнить ответственн'!E183,'Помесячно Заполнить ответственн'!E184,'Помесячно Заполнить ответственн'!E193)</f>
        <v>-2550984.762</v>
      </c>
      <c r="B74" s="24" t="s">
        <v>568</v>
      </c>
      <c r="C74" s="24">
        <v>1100000.0</v>
      </c>
      <c r="D74" s="24">
        <v>1306500.0</v>
      </c>
      <c r="E74" s="23">
        <f t="shared" si="5"/>
        <v>144484.7619</v>
      </c>
      <c r="F74" s="23">
        <f t="shared" si="4"/>
        <v>-765295.4286</v>
      </c>
    </row>
    <row r="75">
      <c r="A75" s="23">
        <f>SUM('Помесячно Заполнить ответственн'!E203,'Помесячно Заполнить ответственн'!E205,'Помесячно Заполнить ответственн'!E206,'Помесячно Заполнить ответственн'!E207,'Помесячно Заполнить ответственн'!E208,'Помесячно Заполнить ответственн'!E210,'Помесячно Заполнить ответственн'!E211,'Помесячно Заполнить ответственн'!E212,'Помесячно Заполнить ответственн'!E221)</f>
        <v>-2576876.491</v>
      </c>
      <c r="B75" s="24" t="s">
        <v>567</v>
      </c>
      <c r="C75" s="24">
        <v>1100000.0</v>
      </c>
      <c r="D75" s="24">
        <v>1306500.0</v>
      </c>
      <c r="E75" s="23">
        <f t="shared" si="5"/>
        <v>170376.4912</v>
      </c>
      <c r="F75" s="23">
        <f t="shared" si="4"/>
        <v>-773062.9474</v>
      </c>
    </row>
    <row r="76">
      <c r="A76" s="23">
        <f>SUM('Помесячно Заполнить ответственн'!E231,'Помесячно Заполнить ответственн'!E233,'Помесячно Заполнить ответственн'!E234,'Помесячно Заполнить ответственн'!E235,'Помесячно Заполнить ответственн'!E236,'Помесячно Заполнить ответственн'!E238,'Помесячно Заполнить ответственн'!E239,'Помесячно Заполнить ответственн'!E240,'Помесячно Заполнить ответственн'!E249)</f>
        <v>-2812976.491</v>
      </c>
      <c r="B76" s="24" t="s">
        <v>569</v>
      </c>
      <c r="C76" s="24">
        <v>1100000.0</v>
      </c>
      <c r="D76" s="24">
        <v>1306500.0</v>
      </c>
      <c r="E76" s="23">
        <f t="shared" si="5"/>
        <v>406476.4912</v>
      </c>
      <c r="F76" s="23">
        <f t="shared" si="4"/>
        <v>-843892.9474</v>
      </c>
    </row>
    <row r="77">
      <c r="A77" s="23">
        <f>sum('Помесячно Заполнить ответственн'!E259,'Помесячно Заполнить ответственн'!E261,'Помесячно Заполнить ответственн'!E262,'Помесячно Заполнить ответственн'!E263,'Помесячно Заполнить ответственн'!E264,'Помесячно Заполнить ответственн'!E266,'Помесячно Заполнить ответственн'!E267,'Помесячно Заполнить ответственн'!E268,'Помесячно Заполнить ответственн'!E277)</f>
        <v>-2937158.07</v>
      </c>
      <c r="B77" s="24" t="s">
        <v>570</v>
      </c>
      <c r="C77" s="24">
        <v>1100000.0</v>
      </c>
      <c r="D77" s="24">
        <v>1306500.0</v>
      </c>
      <c r="E77" s="23">
        <f t="shared" si="5"/>
        <v>530658.0702</v>
      </c>
      <c r="F77" s="23">
        <f t="shared" si="4"/>
        <v>-881147.4211</v>
      </c>
    </row>
    <row r="78">
      <c r="A78" s="23">
        <f>sum('Помесячно Заполнить ответственн'!E287,'Помесячно Заполнить ответственн'!E289,'Помесячно Заполнить ответственн'!E290,'Помесячно Заполнить ответственн'!E291,'Помесячно Заполнить ответственн'!E292,'Помесячно Заполнить ответственн'!E294,'Помесячно Заполнить ответственн'!E295,'Помесячно Заполнить ответственн'!E296,'Помесячно Заполнить ответственн'!E305)</f>
        <v>-3105414.912</v>
      </c>
      <c r="B78" s="24" t="s">
        <v>571</v>
      </c>
      <c r="C78" s="24">
        <v>1100000.0</v>
      </c>
      <c r="D78" s="24">
        <v>1306500.0</v>
      </c>
      <c r="E78" s="23">
        <f t="shared" si="5"/>
        <v>698914.9123</v>
      </c>
      <c r="F78" s="23">
        <f t="shared" si="4"/>
        <v>-931624.4737</v>
      </c>
    </row>
    <row r="79">
      <c r="A79" s="23">
        <f>sum('Помесячно Заполнить ответственн'!E315,'Помесячно Заполнить ответственн'!E317,'Помесячно Заполнить ответственн'!E318,'Помесячно Заполнить ответственн'!E319,'Помесячно Заполнить ответственн'!E320,'Помесячно Заполнить ответственн'!E322,'Помесячно Заполнить ответственн'!E323,'Помесячно Заполнить ответственн'!E324,'Помесячно Заполнить ответственн'!E333)</f>
        <v>-3303644.912</v>
      </c>
      <c r="B79" s="24" t="s">
        <v>572</v>
      </c>
      <c r="C79" s="24">
        <v>1100000.0</v>
      </c>
      <c r="D79" s="24">
        <v>1306500.0</v>
      </c>
      <c r="E79" s="23">
        <f t="shared" si="5"/>
        <v>897144.9123</v>
      </c>
      <c r="F79" s="23">
        <f t="shared" si="4"/>
        <v>-991093.4737</v>
      </c>
    </row>
    <row r="80">
      <c r="A80" s="400">
        <f>SUM(A68:A79)</f>
        <v>-30315726.96</v>
      </c>
      <c r="B80" s="400"/>
      <c r="C80" s="400">
        <f t="shared" ref="C80:E80" si="6">SUM(C68:C79)</f>
        <v>13200000</v>
      </c>
      <c r="D80" s="400">
        <f t="shared" si="6"/>
        <v>14948313.33</v>
      </c>
      <c r="E80" s="400">
        <f t="shared" si="6"/>
        <v>2167413.63</v>
      </c>
      <c r="F80" s="400"/>
    </row>
    <row r="83">
      <c r="A83" s="398" t="s">
        <v>573</v>
      </c>
      <c r="B83" s="398" t="s">
        <v>574</v>
      </c>
      <c r="C83" s="398" t="s">
        <v>575</v>
      </c>
      <c r="E83" s="401" t="s">
        <v>576</v>
      </c>
      <c r="F83" s="401" t="s">
        <v>558</v>
      </c>
      <c r="H83" s="401" t="s">
        <v>577</v>
      </c>
      <c r="I83" s="402"/>
    </row>
    <row r="84">
      <c r="A84" s="26" t="s">
        <v>578</v>
      </c>
      <c r="B84" s="26">
        <v>150000.0</v>
      </c>
      <c r="C84" s="16">
        <f t="shared" ref="C84:C94" si="7">B84*0.3</f>
        <v>45000</v>
      </c>
      <c r="E84" s="403" t="s">
        <v>579</v>
      </c>
      <c r="F84" s="403">
        <v>45000.0</v>
      </c>
      <c r="H84" s="403" t="s">
        <v>580</v>
      </c>
      <c r="I84" s="403">
        <v>254480.0</v>
      </c>
      <c r="J84" s="24" t="s">
        <v>581</v>
      </c>
    </row>
    <row r="85">
      <c r="A85" s="26" t="s">
        <v>582</v>
      </c>
      <c r="B85" s="26">
        <v>80000.0</v>
      </c>
      <c r="C85" s="16">
        <f t="shared" si="7"/>
        <v>24000</v>
      </c>
      <c r="E85" s="403" t="s">
        <v>583</v>
      </c>
      <c r="F85" s="403">
        <v>220000.0</v>
      </c>
      <c r="H85" s="403" t="s">
        <v>584</v>
      </c>
      <c r="I85" s="403">
        <v>169000.0</v>
      </c>
      <c r="J85" s="24" t="s">
        <v>581</v>
      </c>
    </row>
    <row r="86">
      <c r="A86" s="26" t="s">
        <v>585</v>
      </c>
      <c r="B86" s="26">
        <v>190000.0</v>
      </c>
      <c r="C86" s="16">
        <f t="shared" si="7"/>
        <v>57000</v>
      </c>
      <c r="E86" s="403" t="s">
        <v>586</v>
      </c>
      <c r="F86" s="403">
        <v>20000.0</v>
      </c>
      <c r="H86" s="403" t="s">
        <v>587</v>
      </c>
      <c r="I86" s="403">
        <v>73080.0</v>
      </c>
      <c r="J86" s="24" t="s">
        <v>588</v>
      </c>
    </row>
    <row r="87">
      <c r="A87" s="26" t="s">
        <v>589</v>
      </c>
      <c r="B87" s="26">
        <v>150000.0</v>
      </c>
      <c r="C87" s="16">
        <f t="shared" si="7"/>
        <v>45000</v>
      </c>
      <c r="E87" s="403"/>
      <c r="F87" s="403"/>
      <c r="H87" s="403" t="s">
        <v>590</v>
      </c>
      <c r="I87" s="404"/>
    </row>
    <row r="88">
      <c r="A88" s="26" t="s">
        <v>591</v>
      </c>
      <c r="B88" s="26">
        <v>80000.0</v>
      </c>
      <c r="C88" s="16">
        <f t="shared" si="7"/>
        <v>24000</v>
      </c>
      <c r="I88" s="16"/>
    </row>
    <row r="89">
      <c r="A89" s="26" t="s">
        <v>592</v>
      </c>
      <c r="B89" s="26">
        <v>80000.0</v>
      </c>
      <c r="C89" s="16">
        <f t="shared" si="7"/>
        <v>24000</v>
      </c>
    </row>
    <row r="90">
      <c r="A90" s="26" t="s">
        <v>593</v>
      </c>
      <c r="B90" s="26">
        <v>60000.0</v>
      </c>
      <c r="C90" s="16">
        <f t="shared" si="7"/>
        <v>18000</v>
      </c>
      <c r="E90" s="401" t="s">
        <v>276</v>
      </c>
      <c r="F90" s="405"/>
    </row>
    <row r="91">
      <c r="A91" s="26" t="s">
        <v>594</v>
      </c>
      <c r="B91" s="26">
        <v>100000.0</v>
      </c>
      <c r="C91" s="16">
        <f t="shared" si="7"/>
        <v>30000</v>
      </c>
      <c r="E91" s="403" t="s">
        <v>595</v>
      </c>
      <c r="F91" s="402">
        <f>(B101-B102-F92)*0.15</f>
        <v>3174900.857</v>
      </c>
    </row>
    <row r="92">
      <c r="A92" s="26" t="s">
        <v>596</v>
      </c>
      <c r="B92" s="26">
        <v>120000.0</v>
      </c>
      <c r="C92" s="16">
        <f t="shared" si="7"/>
        <v>36000</v>
      </c>
      <c r="E92" s="403" t="s">
        <v>597</v>
      </c>
      <c r="F92" s="80">
        <f>B101-(B101/1.05)</f>
        <v>2465715.952</v>
      </c>
    </row>
    <row r="93">
      <c r="A93" s="26" t="s">
        <v>598</v>
      </c>
      <c r="B93" s="26">
        <v>121700.0</v>
      </c>
      <c r="C93" s="16">
        <f t="shared" si="7"/>
        <v>36510</v>
      </c>
      <c r="E93" s="403" t="s">
        <v>599</v>
      </c>
      <c r="F93" s="403">
        <v>100000.0</v>
      </c>
    </row>
    <row r="94">
      <c r="A94" s="26" t="s">
        <v>600</v>
      </c>
      <c r="B94" s="26">
        <v>159500.0</v>
      </c>
      <c r="C94" s="16">
        <f t="shared" si="7"/>
        <v>47850</v>
      </c>
      <c r="E94" s="403" t="s">
        <v>601</v>
      </c>
      <c r="F94" s="403">
        <v>100000.0</v>
      </c>
    </row>
    <row r="95">
      <c r="A95" s="16"/>
      <c r="B95" s="398">
        <v>1291200.0</v>
      </c>
      <c r="C95" s="400">
        <f>SUM(C84:C94)</f>
        <v>387360</v>
      </c>
      <c r="E95" s="403" t="s">
        <v>602</v>
      </c>
      <c r="F95" s="403">
        <v>158400.0</v>
      </c>
    </row>
    <row r="98">
      <c r="A98" s="24" t="s">
        <v>603</v>
      </c>
      <c r="B98" s="23">
        <f>B95/11</f>
        <v>117381.8182</v>
      </c>
    </row>
    <row r="100">
      <c r="A100" s="26" t="s">
        <v>604</v>
      </c>
      <c r="B100" s="26">
        <v>1100000.0</v>
      </c>
      <c r="C100" s="16">
        <f>B100*0.3</f>
        <v>330000</v>
      </c>
    </row>
    <row r="101">
      <c r="A101" s="26" t="s">
        <v>605</v>
      </c>
      <c r="B101" s="27">
        <f>SUM('Поквартально'!J4:J9)</f>
        <v>51780035</v>
      </c>
      <c r="C101" s="16"/>
    </row>
    <row r="102">
      <c r="A102" s="26" t="s">
        <v>606</v>
      </c>
      <c r="B102" s="16">
        <f>C80+D80</f>
        <v>28148313.33</v>
      </c>
      <c r="C102" s="16"/>
    </row>
  </sheetData>
  <autoFilter ref="$A$3:$AE$30"/>
  <mergeCells count="19"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1:C1"/>
    <mergeCell ref="D1:I1"/>
    <mergeCell ref="J1:O1"/>
    <mergeCell ref="P1:T1"/>
    <mergeCell ref="V1:AA1"/>
    <mergeCell ref="A2:C2"/>
    <mergeCell ref="D2:E2"/>
  </mergeCells>
  <drawing r:id="rId1"/>
</worksheet>
</file>